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b806acf26276f0cd/Documents/MATLAB/Polydisperse_Filament_Thinning/Data/"/>
    </mc:Choice>
  </mc:AlternateContent>
  <xr:revisionPtr revIDLastSave="115" documentId="8_{5379C130-3783-4683-8F6E-1BB8690CC288}" xr6:coauthVersionLast="47" xr6:coauthVersionMax="47" xr10:uidLastSave="{CD3202FA-C7B3-465F-95BC-567830F8C485}"/>
  <bookViews>
    <workbookView xWindow="28680" yWindow="-7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3" i="1"/>
  <c r="N4" i="1"/>
  <c r="N5" i="1"/>
  <c r="N6" i="1"/>
  <c r="N7" i="1"/>
  <c r="N8" i="1"/>
  <c r="N9" i="1"/>
  <c r="N10" i="1"/>
  <c r="N11" i="1"/>
  <c r="N3" i="1"/>
</calcChain>
</file>

<file path=xl/sharedStrings.xml><?xml version="1.0" encoding="utf-8"?>
<sst xmlns="http://schemas.openxmlformats.org/spreadsheetml/2006/main" count="31" uniqueCount="26">
  <si>
    <t>10000 ppm PS8.6</t>
  </si>
  <si>
    <t>1000 ppm PS7</t>
  </si>
  <si>
    <t>c -&gt; 0 extrapolation PS8.6</t>
  </si>
  <si>
    <t>omega</t>
  </si>
  <si>
    <t>G'</t>
  </si>
  <si>
    <t>G''</t>
  </si>
  <si>
    <t>@article{schrag1971application,</t>
  </si>
  <si>
    <t xml:space="preserve">  title={Application of the Birnboim multiple lumped resonator principle to viscoelastic measurements of dilute macromolecular solutions},</t>
  </si>
  <si>
    <t xml:space="preserve">  author={Schrag, John L and Johnson, Robert M},</t>
  </si>
  <si>
    <t xml:space="preserve">  journal={Review of Scientific Instruments},</t>
  </si>
  <si>
    <t xml:space="preserve">  volume={42},</t>
  </si>
  <si>
    <t xml:space="preserve">  number={2},</t>
  </si>
  <si>
    <t xml:space="preserve">  pages={224--232},</t>
  </si>
  <si>
    <t xml:space="preserve">  year={1971},</t>
  </si>
  <si>
    <t xml:space="preserve">  publisher={American Institute of Physics}</t>
  </si>
  <si>
    <t>}</t>
  </si>
  <si>
    <t>@article{johnson1970infinite,</t>
  </si>
  <si>
    <t xml:space="preserve">  title={Infinite-dilution viscoelastic properties of polystyrene in $\theta$-solvents and good solvents},</t>
  </si>
  <si>
    <t xml:space="preserve">  author={Johnson, Robert M and Schrag, John L and Ferry, John D},</t>
  </si>
  <si>
    <t xml:space="preserve">  journal={Polymer Journal},</t>
  </si>
  <si>
    <t xml:space="preserve">  volume={1},</t>
  </si>
  <si>
    <t xml:space="preserve">  number={6},</t>
  </si>
  <si>
    <t xml:space="preserve">  pages={742--749},</t>
  </si>
  <si>
    <t xml:space="preserve">  year={1970},</t>
  </si>
  <si>
    <t xml:space="preserve">  publisher={Nature Publishing Group}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</si>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</sst>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2" borderId="0" xfId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Vincenzo Simon G'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1.5168358889349358E-2"/>
                  <c:y val="0.1924639739181538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Sheet1!$A$3:$A$13</c:f>
              <c:numCache>
                <c:formatCode>General</c:formatCode>
                <c:ptCount val="11"/>
                <c:pt idx="0">
                  <c:v>125.59399999999999</c:v>
                </c:pt>
                <c:pt idx="1">
                  <c:v>79.244699999999995</c:v>
                </c:pt>
                <c:pt idx="2">
                  <c:v>50</c:v>
                </c:pt>
                <c:pt idx="3">
                  <c:v>31.547899999999998</c:v>
                </c:pt>
                <c:pt idx="4">
                  <c:v>19.9054</c:v>
                </c:pt>
                <c:pt idx="5">
                  <c:v>12.5594</c:v>
                </c:pt>
                <c:pt idx="6">
                  <c:v>7.9244700000000003</c:v>
                </c:pt>
                <c:pt idx="7">
                  <c:v>5</c:v>
                </c:pt>
                <c:pt idx="8">
                  <c:v>3.1547900000000002</c:v>
                </c:pt>
                <c:pt idx="9">
                  <c:v>1.99054</c:v>
                </c:pt>
                <c:pt idx="10">
                  <c:v>1.2559400000000001</c:v>
                </c:pt>
              </c:numCache>
            </c:numRef>
          </c:xVal>
          <c:yVal>
            <c:numRef>
              <c:f>Sheet1!$B$3:$B$13</c:f>
              <c:numCache>
                <c:formatCode>General</c:formatCode>
                <c:ptCount val="11"/>
                <c:pt idx="0">
                  <c:v>0.72279199999999999</c:v>
                </c:pt>
                <c:pt idx="1">
                  <c:v>0.40718100000000002</c:v>
                </c:pt>
                <c:pt idx="2">
                  <c:v>0.229154</c:v>
                </c:pt>
                <c:pt idx="3">
                  <c:v>0.123365</c:v>
                </c:pt>
                <c:pt idx="4">
                  <c:v>6.1897199999999999E-2</c:v>
                </c:pt>
                <c:pt idx="5">
                  <c:v>2.9967400000000002E-2</c:v>
                </c:pt>
                <c:pt idx="6">
                  <c:v>1.49794E-2</c:v>
                </c:pt>
                <c:pt idx="7">
                  <c:v>7.7952400000000002E-3</c:v>
                </c:pt>
                <c:pt idx="8">
                  <c:v>4.2077E-3</c:v>
                </c:pt>
                <c:pt idx="9">
                  <c:v>2.42363E-3</c:v>
                </c:pt>
                <c:pt idx="10">
                  <c:v>1.4528E-3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91-42FE-BE97-983F798A4A58}"/>
            </c:ext>
          </c:extLst>
        </c:ser>
        <c:ser>
          <c:idx val="1"/>
          <c:order val="1"/>
          <c:tx>
            <c:v>Vincenzo Simon G''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Sheet1!$A$3:$A$13</c:f>
              <c:numCache>
                <c:formatCode>General</c:formatCode>
                <c:ptCount val="11"/>
                <c:pt idx="0">
                  <c:v>125.59399999999999</c:v>
                </c:pt>
                <c:pt idx="1">
                  <c:v>79.244699999999995</c:v>
                </c:pt>
                <c:pt idx="2">
                  <c:v>50</c:v>
                </c:pt>
                <c:pt idx="3">
                  <c:v>31.547899999999998</c:v>
                </c:pt>
                <c:pt idx="4">
                  <c:v>19.9054</c:v>
                </c:pt>
                <c:pt idx="5">
                  <c:v>12.5594</c:v>
                </c:pt>
                <c:pt idx="6">
                  <c:v>7.9244700000000003</c:v>
                </c:pt>
                <c:pt idx="7">
                  <c:v>5</c:v>
                </c:pt>
                <c:pt idx="8">
                  <c:v>3.1547900000000002</c:v>
                </c:pt>
                <c:pt idx="9">
                  <c:v>1.99054</c:v>
                </c:pt>
                <c:pt idx="10">
                  <c:v>1.2559400000000001</c:v>
                </c:pt>
              </c:numCache>
            </c:numRef>
          </c:xVal>
          <c:yVal>
            <c:numRef>
              <c:f>Sheet1!$C$3:$C$13</c:f>
              <c:numCache>
                <c:formatCode>General</c:formatCode>
                <c:ptCount val="11"/>
                <c:pt idx="0">
                  <c:v>8.5254799999999999</c:v>
                </c:pt>
                <c:pt idx="1">
                  <c:v>5.5058800000000003</c:v>
                </c:pt>
                <c:pt idx="2">
                  <c:v>3.5486800000000001</c:v>
                </c:pt>
                <c:pt idx="3">
                  <c:v>2.2809499999999998</c:v>
                </c:pt>
                <c:pt idx="4">
                  <c:v>1.4569099999999999</c:v>
                </c:pt>
                <c:pt idx="5">
                  <c:v>0.92793099999999995</c:v>
                </c:pt>
                <c:pt idx="6">
                  <c:v>0.58921000000000001</c:v>
                </c:pt>
                <c:pt idx="7">
                  <c:v>0.37325000000000003</c:v>
                </c:pt>
                <c:pt idx="8">
                  <c:v>0.23624300000000001</c:v>
                </c:pt>
                <c:pt idx="9">
                  <c:v>0.14974499999999999</c:v>
                </c:pt>
                <c:pt idx="10">
                  <c:v>9.44213E-2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91-42FE-BE97-983F798A4A58}"/>
            </c:ext>
          </c:extLst>
        </c:ser>
        <c:ser>
          <c:idx val="2"/>
          <c:order val="2"/>
          <c:tx>
            <c:v>Johnson 1970 G'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Sheet1!$I$8:$I$17</c:f>
              <c:numCache>
                <c:formatCode>General</c:formatCode>
                <c:ptCount val="10"/>
                <c:pt idx="0">
                  <c:v>108.89048854308217</c:v>
                </c:pt>
                <c:pt idx="1">
                  <c:v>148.54144755927169</c:v>
                </c:pt>
                <c:pt idx="2">
                  <c:v>261.1278005486692</c:v>
                </c:pt>
                <c:pt idx="3">
                  <c:v>416.3362826420443</c:v>
                </c:pt>
                <c:pt idx="4">
                  <c:v>552.08265182814921</c:v>
                </c:pt>
                <c:pt idx="5">
                  <c:v>1042.9613629419093</c:v>
                </c:pt>
                <c:pt idx="6">
                  <c:v>1326.492779729218</c:v>
                </c:pt>
                <c:pt idx="7">
                  <c:v>2543.1116238156005</c:v>
                </c:pt>
                <c:pt idx="8">
                  <c:v>3416.3330183218759</c:v>
                </c:pt>
                <c:pt idx="9">
                  <c:v>6106.6031254159925</c:v>
                </c:pt>
              </c:numCache>
            </c:numRef>
          </c:xVal>
          <c:yVal>
            <c:numRef>
              <c:f>Sheet1!$J$8:$J$17</c:f>
              <c:numCache>
                <c:formatCode>General</c:formatCode>
                <c:ptCount val="10"/>
                <c:pt idx="0">
                  <c:v>0.88820993014464</c:v>
                </c:pt>
                <c:pt idx="1">
                  <c:v>1.2166076181404799</c:v>
                </c:pt>
                <c:pt idx="2">
                  <c:v>2.3144119246675801</c:v>
                </c:pt>
                <c:pt idx="3">
                  <c:v>3.3114041093726096</c:v>
                </c:pt>
                <c:pt idx="4">
                  <c:v>4.47093483550612</c:v>
                </c:pt>
                <c:pt idx="5">
                  <c:v>7.2774659636441301</c:v>
                </c:pt>
                <c:pt idx="6">
                  <c:v>8.5216967467364206</c:v>
                </c:pt>
                <c:pt idx="7">
                  <c:v>12.7382674926305</c:v>
                </c:pt>
                <c:pt idx="8">
                  <c:v>20.987033560592501</c:v>
                </c:pt>
                <c:pt idx="9">
                  <c:v>26.8192316303798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91-42FE-BE97-983F798A4A58}"/>
            </c:ext>
          </c:extLst>
        </c:ser>
        <c:ser>
          <c:idx val="3"/>
          <c:order val="3"/>
          <c:tx>
            <c:v>Johnson 1970 G'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0.11230988396187319"/>
                  <c:y val="7.427396043579659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Sheet1!$I$3:$I$8</c:f>
              <c:numCache>
                <c:formatCode>General</c:formatCode>
                <c:ptCount val="6"/>
                <c:pt idx="0">
                  <c:v>18.314519988535324</c:v>
                </c:pt>
                <c:pt idx="1">
                  <c:v>23.232181628598401</c:v>
                </c:pt>
                <c:pt idx="2">
                  <c:v>44.900721991072018</c:v>
                </c:pt>
                <c:pt idx="3">
                  <c:v>62.954699664591672</c:v>
                </c:pt>
                <c:pt idx="4">
                  <c:v>101.61308806068429</c:v>
                </c:pt>
                <c:pt idx="5">
                  <c:v>108.89048854308217</c:v>
                </c:pt>
              </c:numCache>
            </c:numRef>
          </c:xVal>
          <c:yVal>
            <c:numRef>
              <c:f>Sheet1!$J$3:$J$8</c:f>
              <c:numCache>
                <c:formatCode>General</c:formatCode>
                <c:ptCount val="6"/>
                <c:pt idx="0">
                  <c:v>2.8990470329599703E-2</c:v>
                </c:pt>
                <c:pt idx="1">
                  <c:v>5.19971198188749E-2</c:v>
                </c:pt>
                <c:pt idx="2">
                  <c:v>0.210224808022453</c:v>
                </c:pt>
                <c:pt idx="3">
                  <c:v>0.336739193558306</c:v>
                </c:pt>
                <c:pt idx="4">
                  <c:v>0.65871956739106996</c:v>
                </c:pt>
                <c:pt idx="5">
                  <c:v>0.88820993014464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94A-4BF1-BCB2-0A67C081E400}"/>
            </c:ext>
          </c:extLst>
        </c:ser>
        <c:ser>
          <c:idx val="4"/>
          <c:order val="4"/>
          <c:tx>
            <c:v>Schrag 1971 G'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Sheet1!$T$3:$T$22</c:f>
              <c:numCache>
                <c:formatCode>General</c:formatCode>
                <c:ptCount val="20"/>
                <c:pt idx="0">
                  <c:v>3.687846629674679</c:v>
                </c:pt>
                <c:pt idx="1">
                  <c:v>5.1606154015074512</c:v>
                </c:pt>
                <c:pt idx="2">
                  <c:v>6.4332680276804348</c:v>
                </c:pt>
                <c:pt idx="3">
                  <c:v>8.6131457710868684</c:v>
                </c:pt>
                <c:pt idx="4">
                  <c:v>11.653901566458609</c:v>
                </c:pt>
                <c:pt idx="5">
                  <c:v>16.904345195049046</c:v>
                </c:pt>
                <c:pt idx="6">
                  <c:v>22.456753108457395</c:v>
                </c:pt>
                <c:pt idx="7">
                  <c:v>32.147322545781279</c:v>
                </c:pt>
                <c:pt idx="8">
                  <c:v>51.976043720649223</c:v>
                </c:pt>
                <c:pt idx="9">
                  <c:v>71.887668661086323</c:v>
                </c:pt>
                <c:pt idx="10">
                  <c:v>113.31562113195591</c:v>
                </c:pt>
                <c:pt idx="11">
                  <c:v>180.34942038202115</c:v>
                </c:pt>
                <c:pt idx="12">
                  <c:v>358.41829176206932</c:v>
                </c:pt>
                <c:pt idx="13">
                  <c:v>497.9834090458362</c:v>
                </c:pt>
                <c:pt idx="14">
                  <c:v>802.65895881546908</c:v>
                </c:pt>
                <c:pt idx="15">
                  <c:v>1298.5184659270283</c:v>
                </c:pt>
                <c:pt idx="16">
                  <c:v>2068.0543314264382</c:v>
                </c:pt>
                <c:pt idx="17">
                  <c:v>3261.0512601175874</c:v>
                </c:pt>
                <c:pt idx="18">
                  <c:v>6000.2731671788706</c:v>
                </c:pt>
                <c:pt idx="19">
                  <c:v>8521.5751063710341</c:v>
                </c:pt>
              </c:numCache>
            </c:numRef>
          </c:xVal>
          <c:yVal>
            <c:numRef>
              <c:f>Sheet1!$U$3:$U$22</c:f>
              <c:numCache>
                <c:formatCode>General</c:formatCode>
                <c:ptCount val="20"/>
                <c:pt idx="0">
                  <c:v>3.797610039301267E-3</c:v>
                </c:pt>
                <c:pt idx="1">
                  <c:v>7.0111630289686E-3</c:v>
                </c:pt>
                <c:pt idx="2">
                  <c:v>1.0544646301505667E-2</c:v>
                </c:pt>
                <c:pt idx="3">
                  <c:v>1.8094624530092699E-2</c:v>
                </c:pt>
                <c:pt idx="4">
                  <c:v>3.1553274086503567E-2</c:v>
                </c:pt>
                <c:pt idx="5">
                  <c:v>6.1242119667517671E-2</c:v>
                </c:pt>
                <c:pt idx="6">
                  <c:v>9.9122521628542667E-2</c:v>
                </c:pt>
                <c:pt idx="7">
                  <c:v>0.16845684386619433</c:v>
                </c:pt>
                <c:pt idx="8">
                  <c:v>0.31599702380826633</c:v>
                </c:pt>
                <c:pt idx="9">
                  <c:v>0.44987028567425663</c:v>
                </c:pt>
                <c:pt idx="10">
                  <c:v>0.7987761005398033</c:v>
                </c:pt>
                <c:pt idx="11">
                  <c:v>1.1927394717234334</c:v>
                </c:pt>
                <c:pt idx="12">
                  <c:v>2.0638353158146168</c:v>
                </c:pt>
                <c:pt idx="13">
                  <c:v>2.6505529374675434</c:v>
                </c:pt>
                <c:pt idx="14">
                  <c:v>3.4702740124117666</c:v>
                </c:pt>
                <c:pt idx="15">
                  <c:v>4.6788850410875993</c:v>
                </c:pt>
                <c:pt idx="16">
                  <c:v>6.4314889558452002</c:v>
                </c:pt>
                <c:pt idx="17">
                  <c:v>8.6457034155203338</c:v>
                </c:pt>
                <c:pt idx="18">
                  <c:v>13.041132067863167</c:v>
                </c:pt>
                <c:pt idx="19">
                  <c:v>16.302688356403433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94A-4BF1-BCB2-0A67C081E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5143632"/>
        <c:axId val="945144592"/>
      </c:scatterChart>
      <c:valAx>
        <c:axId val="94514363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\omega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144592"/>
        <c:crosses val="autoZero"/>
        <c:crossBetween val="midCat"/>
      </c:valAx>
      <c:valAx>
        <c:axId val="94514459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G, G''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1436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28</xdr:row>
      <xdr:rowOff>150495</xdr:rowOff>
    </xdr:from>
    <xdr:to>
      <xdr:col>10</xdr:col>
      <xdr:colOff>19050</xdr:colOff>
      <xdr:row>49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F1C964-7D30-F12D-102D-6F9FA8B08C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"/>
  <sheetViews>
    <sheetView tabSelected="1" topLeftCell="A27" zoomScale="160" zoomScaleNormal="160" workbookViewId="0">
      <selection activeCell="L32" sqref="L32"/>
    </sheetView>
  </sheetViews>
  <sheetFormatPr defaultRowHeight="14.4" x14ac:dyDescent="0.3"/>
  <cols>
    <col min="16" max="16" width="17.109375" customWidth="1"/>
  </cols>
  <sheetData>
    <row r="1" spans="1:21" x14ac:dyDescent="0.3">
      <c r="A1" s="2" t="s">
        <v>1</v>
      </c>
      <c r="B1" s="2"/>
      <c r="C1" s="2"/>
      <c r="F1" s="2" t="s">
        <v>2</v>
      </c>
      <c r="G1" s="2"/>
      <c r="H1" s="2"/>
      <c r="I1" s="2"/>
      <c r="J1" s="2"/>
      <c r="Q1" s="2" t="s">
        <v>0</v>
      </c>
      <c r="R1" s="2"/>
      <c r="S1" s="2"/>
      <c r="T1" s="2"/>
      <c r="U1" s="2"/>
    </row>
    <row r="2" spans="1:21" x14ac:dyDescent="0.3">
      <c r="A2" t="s">
        <v>3</v>
      </c>
      <c r="B2" t="s">
        <v>4</v>
      </c>
      <c r="C2" t="s">
        <v>5</v>
      </c>
      <c r="I2" t="s">
        <v>3</v>
      </c>
      <c r="J2" t="s">
        <v>4</v>
      </c>
      <c r="T2" t="s">
        <v>3</v>
      </c>
      <c r="U2" t="s">
        <v>4</v>
      </c>
    </row>
    <row r="3" spans="1:21" x14ac:dyDescent="0.3">
      <c r="A3">
        <v>125.59399999999999</v>
      </c>
      <c r="B3">
        <v>0.72279199999999999</v>
      </c>
      <c r="C3">
        <v>8.5254799999999999</v>
      </c>
      <c r="F3">
        <v>115.07352290001199</v>
      </c>
      <c r="G3">
        <v>289.90470329599702</v>
      </c>
      <c r="I3">
        <f>F3/(2*PI())</f>
        <v>18.314519988535324</v>
      </c>
      <c r="J3">
        <f>G3/10000</f>
        <v>2.8990470329599703E-2</v>
      </c>
      <c r="M3">
        <v>106</v>
      </c>
      <c r="N3">
        <f>LOG10(M3*0.678)</f>
        <v>1.8565355591318335</v>
      </c>
      <c r="Q3">
        <v>23.1714237587037</v>
      </c>
      <c r="R3">
        <v>1.1392830117903801</v>
      </c>
      <c r="T3">
        <f>Q3/(2*PI())</f>
        <v>3.687846629674679</v>
      </c>
      <c r="U3">
        <f>R3/300</f>
        <v>3.797610039301267E-3</v>
      </c>
    </row>
    <row r="4" spans="1:21" x14ac:dyDescent="0.3">
      <c r="A4">
        <v>79.244699999999995</v>
      </c>
      <c r="B4">
        <v>0.40718100000000002</v>
      </c>
      <c r="C4">
        <v>5.5058800000000003</v>
      </c>
      <c r="F4">
        <v>145.97210226253699</v>
      </c>
      <c r="G4">
        <v>519.97119818874899</v>
      </c>
      <c r="I4">
        <f t="shared" ref="I4:I17" si="0">F4/(2*PI())</f>
        <v>23.232181628598401</v>
      </c>
      <c r="J4">
        <f t="shared" ref="J4:J17" si="1">G4/10000</f>
        <v>5.19971198188749E-2</v>
      </c>
      <c r="M4">
        <v>154</v>
      </c>
      <c r="N4">
        <f t="shared" ref="N4:N11" si="2">LOG10(M4*0.678)</f>
        <v>2.0187504147035265</v>
      </c>
      <c r="Q4">
        <v>32.425102866756298</v>
      </c>
      <c r="R4">
        <v>2.1033489086905801</v>
      </c>
      <c r="T4">
        <f t="shared" ref="T4:T22" si="3">Q4/(2*PI())</f>
        <v>5.1606154015074512</v>
      </c>
      <c r="U4">
        <f t="shared" ref="U4:U22" si="4">R4/300</f>
        <v>7.0111630289686E-3</v>
      </c>
    </row>
    <row r="5" spans="1:21" x14ac:dyDescent="0.3">
      <c r="A5">
        <v>50</v>
      </c>
      <c r="B5">
        <v>0.229154</v>
      </c>
      <c r="C5">
        <v>3.5486800000000001</v>
      </c>
      <c r="F5">
        <v>282.11955669605902</v>
      </c>
      <c r="G5">
        <v>2102.24808022453</v>
      </c>
      <c r="I5">
        <f t="shared" si="0"/>
        <v>44.900721991072018</v>
      </c>
      <c r="J5">
        <f t="shared" si="1"/>
        <v>0.210224808022453</v>
      </c>
      <c r="M5">
        <v>420</v>
      </c>
      <c r="N5">
        <f t="shared" si="2"/>
        <v>2.4544789842649637</v>
      </c>
      <c r="Q5">
        <v>40.421415148669901</v>
      </c>
      <c r="R5">
        <v>3.1633938904517001</v>
      </c>
      <c r="T5">
        <f t="shared" si="3"/>
        <v>6.4332680276804348</v>
      </c>
      <c r="U5">
        <f t="shared" si="4"/>
        <v>1.0544646301505667E-2</v>
      </c>
    </row>
    <row r="6" spans="1:21" x14ac:dyDescent="0.3">
      <c r="A6">
        <v>31.547899999999998</v>
      </c>
      <c r="B6">
        <v>0.123365</v>
      </c>
      <c r="C6">
        <v>2.2809499999999998</v>
      </c>
      <c r="F6">
        <v>395.55604395046601</v>
      </c>
      <c r="G6">
        <v>3367.3919355830599</v>
      </c>
      <c r="I6">
        <f t="shared" si="0"/>
        <v>62.954699664591672</v>
      </c>
      <c r="J6">
        <f t="shared" si="1"/>
        <v>0.336739193558306</v>
      </c>
      <c r="M6">
        <v>540</v>
      </c>
      <c r="N6">
        <f t="shared" si="2"/>
        <v>2.563623453690032</v>
      </c>
      <c r="Q6">
        <v>54.117990957488999</v>
      </c>
      <c r="R6">
        <v>5.42838735902781</v>
      </c>
      <c r="T6">
        <f t="shared" si="3"/>
        <v>8.6131457710868684</v>
      </c>
      <c r="U6">
        <f t="shared" si="4"/>
        <v>1.8094624530092699E-2</v>
      </c>
    </row>
    <row r="7" spans="1:21" x14ac:dyDescent="0.3">
      <c r="A7">
        <v>19.9054</v>
      </c>
      <c r="B7">
        <v>6.1897199999999999E-2</v>
      </c>
      <c r="C7">
        <v>1.4569099999999999</v>
      </c>
      <c r="F7">
        <v>638.45386192003696</v>
      </c>
      <c r="G7">
        <v>6587.1956739107</v>
      </c>
      <c r="I7">
        <f t="shared" si="0"/>
        <v>101.61308806068429</v>
      </c>
      <c r="J7">
        <f t="shared" si="1"/>
        <v>0.65871956739106996</v>
      </c>
      <c r="M7">
        <v>1040</v>
      </c>
      <c r="N7">
        <f t="shared" si="2"/>
        <v>2.8482630331658436</v>
      </c>
      <c r="Q7">
        <v>73.223623093689895</v>
      </c>
      <c r="R7">
        <v>9.4659822259510698</v>
      </c>
      <c r="T7">
        <f t="shared" si="3"/>
        <v>11.653901566458609</v>
      </c>
      <c r="U7">
        <f t="shared" si="4"/>
        <v>3.1553274086503567E-2</v>
      </c>
    </row>
    <row r="8" spans="1:21" x14ac:dyDescent="0.3">
      <c r="A8">
        <v>12.5594</v>
      </c>
      <c r="B8">
        <v>2.9967400000000002E-2</v>
      </c>
      <c r="C8">
        <v>0.92793099999999995</v>
      </c>
      <c r="F8">
        <v>684.17911770550097</v>
      </c>
      <c r="G8">
        <v>8882.0993014464002</v>
      </c>
      <c r="I8">
        <f t="shared" si="0"/>
        <v>108.89048854308217</v>
      </c>
      <c r="J8">
        <f t="shared" si="1"/>
        <v>0.88820993014464</v>
      </c>
      <c r="M8">
        <v>1420</v>
      </c>
      <c r="N8">
        <f t="shared" si="2"/>
        <v>2.9835180382501201</v>
      </c>
      <c r="Q8">
        <v>106.21313335702401</v>
      </c>
      <c r="R8">
        <v>18.3726359002553</v>
      </c>
      <c r="T8">
        <f t="shared" si="3"/>
        <v>16.904345195049046</v>
      </c>
      <c r="U8">
        <f t="shared" si="4"/>
        <v>6.1242119667517671E-2</v>
      </c>
    </row>
    <row r="9" spans="1:21" x14ac:dyDescent="0.3">
      <c r="A9">
        <v>7.9244700000000003</v>
      </c>
      <c r="B9">
        <v>1.49794E-2</v>
      </c>
      <c r="C9">
        <v>0.58921000000000001</v>
      </c>
      <c r="F9">
        <v>933.31344081160296</v>
      </c>
      <c r="G9">
        <v>12166.0761814048</v>
      </c>
      <c r="I9">
        <f t="shared" si="0"/>
        <v>148.54144755927169</v>
      </c>
      <c r="J9">
        <f t="shared" si="1"/>
        <v>1.2166076181404799</v>
      </c>
      <c r="M9">
        <v>2520</v>
      </c>
      <c r="N9">
        <f t="shared" si="2"/>
        <v>3.2326302346486075</v>
      </c>
      <c r="Q9">
        <v>141.09994117801901</v>
      </c>
      <c r="R9">
        <v>29.736756488562801</v>
      </c>
      <c r="T9">
        <f t="shared" si="3"/>
        <v>22.456753108457395</v>
      </c>
      <c r="U9">
        <f t="shared" si="4"/>
        <v>9.9122521628542667E-2</v>
      </c>
    </row>
    <row r="10" spans="1:21" x14ac:dyDescent="0.3">
      <c r="A10">
        <v>5</v>
      </c>
      <c r="B10">
        <v>7.7952400000000002E-3</v>
      </c>
      <c r="C10">
        <v>0.37325000000000003</v>
      </c>
      <c r="F10">
        <v>1640.7143597035199</v>
      </c>
      <c r="G10">
        <v>23144.1192466758</v>
      </c>
      <c r="I10">
        <f t="shared" si="0"/>
        <v>261.1278005486692</v>
      </c>
      <c r="J10">
        <f t="shared" si="1"/>
        <v>2.3144119246675801</v>
      </c>
      <c r="M10">
        <v>3420</v>
      </c>
      <c r="N10">
        <f t="shared" si="2"/>
        <v>3.3652557999231982</v>
      </c>
      <c r="Q10">
        <v>201.987584684816</v>
      </c>
      <c r="R10">
        <v>50.537053159858303</v>
      </c>
      <c r="T10">
        <f t="shared" si="3"/>
        <v>32.147322545781279</v>
      </c>
      <c r="U10">
        <f t="shared" si="4"/>
        <v>0.16845684386619433</v>
      </c>
    </row>
    <row r="11" spans="1:21" x14ac:dyDescent="0.3">
      <c r="A11">
        <v>3.1547900000000002</v>
      </c>
      <c r="B11">
        <v>4.2077E-3</v>
      </c>
      <c r="C11">
        <v>0.23624300000000001</v>
      </c>
      <c r="F11">
        <v>2615.9180139422601</v>
      </c>
      <c r="G11">
        <v>33114.041093726097</v>
      </c>
      <c r="I11">
        <f t="shared" si="0"/>
        <v>416.3362826420443</v>
      </c>
      <c r="J11">
        <f t="shared" si="1"/>
        <v>3.3114041093726096</v>
      </c>
      <c r="M11">
        <v>6060</v>
      </c>
      <c r="N11">
        <f t="shared" si="2"/>
        <v>3.6137023180333494</v>
      </c>
      <c r="Q11">
        <v>326.57511423090699</v>
      </c>
      <c r="R11">
        <v>94.799107142479897</v>
      </c>
      <c r="T11">
        <f t="shared" si="3"/>
        <v>51.976043720649223</v>
      </c>
      <c r="U11">
        <f t="shared" si="4"/>
        <v>0.31599702380826633</v>
      </c>
    </row>
    <row r="12" spans="1:21" x14ac:dyDescent="0.3">
      <c r="A12">
        <v>1.99054</v>
      </c>
      <c r="B12">
        <v>2.42363E-3</v>
      </c>
      <c r="C12">
        <v>0.14974499999999999</v>
      </c>
      <c r="F12">
        <v>3468.8376063153701</v>
      </c>
      <c r="G12">
        <v>44709.3483550612</v>
      </c>
      <c r="I12">
        <f t="shared" si="0"/>
        <v>552.08265182814921</v>
      </c>
      <c r="J12">
        <f t="shared" si="1"/>
        <v>4.47093483550612</v>
      </c>
      <c r="Q12">
        <v>451.68354349873198</v>
      </c>
      <c r="R12">
        <v>134.96108570227699</v>
      </c>
      <c r="T12">
        <f t="shared" si="3"/>
        <v>71.887668661086323</v>
      </c>
      <c r="U12">
        <f t="shared" si="4"/>
        <v>0.44987028567425663</v>
      </c>
    </row>
    <row r="13" spans="1:21" x14ac:dyDescent="0.3">
      <c r="A13">
        <v>1.2559400000000001</v>
      </c>
      <c r="B13">
        <v>1.4528E-3</v>
      </c>
      <c r="C13">
        <v>9.44213E-2</v>
      </c>
      <c r="F13">
        <v>6553.1195115926002</v>
      </c>
      <c r="G13">
        <v>72774.659636441298</v>
      </c>
      <c r="I13">
        <f t="shared" si="0"/>
        <v>1042.9613629419093</v>
      </c>
      <c r="J13">
        <f t="shared" si="1"/>
        <v>7.2774659636441301</v>
      </c>
      <c r="Q13">
        <v>711.98304577023396</v>
      </c>
      <c r="R13">
        <v>239.632830161941</v>
      </c>
      <c r="T13">
        <f t="shared" si="3"/>
        <v>113.31562113195591</v>
      </c>
      <c r="U13">
        <f t="shared" si="4"/>
        <v>0.7987761005398033</v>
      </c>
    </row>
    <row r="14" spans="1:21" x14ac:dyDescent="0.3">
      <c r="F14">
        <v>8334.5999436744296</v>
      </c>
      <c r="G14">
        <v>85216.9674673642</v>
      </c>
      <c r="I14">
        <f t="shared" si="0"/>
        <v>1326.492779729218</v>
      </c>
      <c r="J14">
        <f t="shared" si="1"/>
        <v>8.5216967467364206</v>
      </c>
      <c r="Q14">
        <v>1133.1688283026699</v>
      </c>
      <c r="R14">
        <v>357.82184151703001</v>
      </c>
      <c r="T14">
        <f t="shared" si="3"/>
        <v>180.34942038202115</v>
      </c>
      <c r="U14">
        <f t="shared" si="4"/>
        <v>1.1927394717234334</v>
      </c>
    </row>
    <row r="15" spans="1:21" x14ac:dyDescent="0.3">
      <c r="F15">
        <v>15978.8415892758</v>
      </c>
      <c r="G15">
        <v>127382.674926305</v>
      </c>
      <c r="I15">
        <f t="shared" si="0"/>
        <v>2543.1116238156005</v>
      </c>
      <c r="J15">
        <f t="shared" si="1"/>
        <v>12.7382674926305</v>
      </c>
      <c r="Q15">
        <v>2252.00854462384</v>
      </c>
      <c r="R15">
        <v>619.15059474438499</v>
      </c>
      <c r="T15">
        <f t="shared" si="3"/>
        <v>358.41829176206932</v>
      </c>
      <c r="U15">
        <f t="shared" si="4"/>
        <v>2.0638353158146168</v>
      </c>
    </row>
    <row r="16" spans="1:21" x14ac:dyDescent="0.3">
      <c r="F16">
        <v>21465.4534251525</v>
      </c>
      <c r="G16">
        <v>209870.33560592501</v>
      </c>
      <c r="I16">
        <f t="shared" si="0"/>
        <v>3416.3330183218759</v>
      </c>
      <c r="J16">
        <f t="shared" si="1"/>
        <v>20.987033560592501</v>
      </c>
      <c r="Q16">
        <v>3128.9220389359998</v>
      </c>
      <c r="R16">
        <v>795.16588124026305</v>
      </c>
      <c r="T16">
        <f t="shared" si="3"/>
        <v>497.9834090458362</v>
      </c>
      <c r="U16">
        <f t="shared" si="4"/>
        <v>2.6505529374675434</v>
      </c>
    </row>
    <row r="17" spans="6:21" x14ac:dyDescent="0.3">
      <c r="F17">
        <v>38368.919034390703</v>
      </c>
      <c r="G17">
        <v>268192.316303798</v>
      </c>
      <c r="I17">
        <f t="shared" si="0"/>
        <v>6106.6031254159925</v>
      </c>
      <c r="J17">
        <f t="shared" si="1"/>
        <v>26.8192316303798</v>
      </c>
      <c r="Q17">
        <v>5043.2549767054197</v>
      </c>
      <c r="R17">
        <v>1041.08220372353</v>
      </c>
      <c r="T17">
        <f t="shared" si="3"/>
        <v>802.65895881546908</v>
      </c>
      <c r="U17">
        <f t="shared" si="4"/>
        <v>3.4702740124117666</v>
      </c>
    </row>
    <row r="18" spans="6:21" x14ac:dyDescent="0.3">
      <c r="O18" t="s">
        <v>25</v>
      </c>
      <c r="Q18">
        <v>8158.8321462140802</v>
      </c>
      <c r="R18">
        <v>1403.6655123262799</v>
      </c>
      <c r="T18">
        <f t="shared" si="3"/>
        <v>1298.5184659270283</v>
      </c>
      <c r="U18">
        <f t="shared" si="4"/>
        <v>4.6788850410875993</v>
      </c>
    </row>
    <row r="19" spans="6:21" x14ac:dyDescent="0.3">
      <c r="F19" s="1" t="s">
        <v>16</v>
      </c>
      <c r="Q19">
        <v>12993.9685896677</v>
      </c>
      <c r="R19">
        <v>1929.44668675356</v>
      </c>
      <c r="T19">
        <f t="shared" si="3"/>
        <v>2068.0543314264382</v>
      </c>
      <c r="U19">
        <f t="shared" si="4"/>
        <v>6.4314889558452002</v>
      </c>
    </row>
    <row r="20" spans="6:21" x14ac:dyDescent="0.3">
      <c r="F20" s="1" t="s">
        <v>17</v>
      </c>
      <c r="Q20">
        <v>20489.789363530301</v>
      </c>
      <c r="R20">
        <v>2593.7110246561001</v>
      </c>
      <c r="T20">
        <f t="shared" si="3"/>
        <v>3261.0512601175874</v>
      </c>
      <c r="U20">
        <f t="shared" si="4"/>
        <v>8.6457034155203338</v>
      </c>
    </row>
    <row r="21" spans="6:21" x14ac:dyDescent="0.3">
      <c r="F21" s="1" t="s">
        <v>18</v>
      </c>
      <c r="Q21">
        <v>37700.828203082201</v>
      </c>
      <c r="R21">
        <v>3912.33962035895</v>
      </c>
      <c r="T21">
        <f t="shared" si="3"/>
        <v>6000.2731671788706</v>
      </c>
      <c r="U21">
        <f t="shared" si="4"/>
        <v>13.041132067863167</v>
      </c>
    </row>
    <row r="22" spans="6:21" x14ac:dyDescent="0.3">
      <c r="F22" s="1" t="s">
        <v>19</v>
      </c>
      <c r="Q22">
        <v>53542.635502377801</v>
      </c>
      <c r="R22">
        <v>4890.8065069210297</v>
      </c>
      <c r="T22">
        <f t="shared" si="3"/>
        <v>8521.5751063710341</v>
      </c>
      <c r="U22">
        <f t="shared" si="4"/>
        <v>16.302688356403433</v>
      </c>
    </row>
    <row r="23" spans="6:21" x14ac:dyDescent="0.3">
      <c r="F23" s="1" t="s">
        <v>20</v>
      </c>
    </row>
    <row r="24" spans="6:21" x14ac:dyDescent="0.3">
      <c r="F24" s="1" t="s">
        <v>21</v>
      </c>
      <c r="Q24" s="1" t="s">
        <v>6</v>
      </c>
    </row>
    <row r="25" spans="6:21" x14ac:dyDescent="0.3">
      <c r="F25" s="1" t="s">
        <v>22</v>
      </c>
      <c r="Q25" s="1" t="s">
        <v>7</v>
      </c>
    </row>
    <row r="26" spans="6:21" x14ac:dyDescent="0.3">
      <c r="F26" s="1" t="s">
        <v>23</v>
      </c>
      <c r="Q26" s="1" t="s">
        <v>8</v>
      </c>
    </row>
    <row r="27" spans="6:21" x14ac:dyDescent="0.3">
      <c r="F27" s="1" t="s">
        <v>24</v>
      </c>
      <c r="Q27" s="1" t="s">
        <v>9</v>
      </c>
    </row>
    <row r="28" spans="6:21" x14ac:dyDescent="0.3">
      <c r="F28" s="1" t="s">
        <v>15</v>
      </c>
      <c r="Q28" s="1" t="s">
        <v>10</v>
      </c>
    </row>
    <row r="29" spans="6:21" x14ac:dyDescent="0.3">
      <c r="Q29" s="1" t="s">
        <v>11</v>
      </c>
    </row>
    <row r="30" spans="6:21" x14ac:dyDescent="0.3">
      <c r="Q30" s="1" t="s">
        <v>12</v>
      </c>
    </row>
    <row r="31" spans="6:21" x14ac:dyDescent="0.3">
      <c r="Q31" s="1" t="s">
        <v>13</v>
      </c>
    </row>
    <row r="32" spans="6:21" x14ac:dyDescent="0.3">
      <c r="Q32" s="1" t="s">
        <v>14</v>
      </c>
    </row>
    <row r="33" spans="17:17" x14ac:dyDescent="0.3">
      <c r="Q33" s="1" t="s">
        <v>15</v>
      </c>
    </row>
  </sheetData>
  <mergeCells count="3">
    <mergeCell ref="A1:C1"/>
    <mergeCell ref="F1:J1"/>
    <mergeCell ref="Q1:U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Pincus</dc:creator>
  <cp:lastModifiedBy>Isaac Pincus</cp:lastModifiedBy>
  <dcterms:created xsi:type="dcterms:W3CDTF">2015-06-05T18:17:20Z</dcterms:created>
  <dcterms:modified xsi:type="dcterms:W3CDTF">2024-09-24T00:29:37Z</dcterms:modified>
</cp:coreProperties>
</file>