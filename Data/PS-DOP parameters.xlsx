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806acf26276f0cd/Documents/MATLAB/Polydisperse_Filament_Thinning/Data/"/>
    </mc:Choice>
  </mc:AlternateContent>
  <xr:revisionPtr revIDLastSave="116" documentId="11_A95F4069ECC0ED5F89304C5B29F96DB043E8F405" xr6:coauthVersionLast="47" xr6:coauthVersionMax="47" xr10:uidLastSave="{03F66DD1-747E-4819-885A-6C55A5F0689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3" i="1"/>
  <c r="D14" i="1" s="1"/>
  <c r="D17" i="1"/>
  <c r="D10" i="1"/>
  <c r="D12" i="1"/>
  <c r="D15" i="1"/>
  <c r="D11" i="1"/>
  <c r="H18" i="1"/>
  <c r="H10" i="1"/>
  <c r="H12" i="1" s="1"/>
  <c r="H13" i="1" s="1"/>
  <c r="H17" i="1" s="1"/>
  <c r="F19" i="1"/>
  <c r="D19" i="1"/>
  <c r="F10" i="1"/>
  <c r="F18" i="1"/>
  <c r="F12" i="1"/>
  <c r="F13" i="1" s="1"/>
  <c r="D4" i="1"/>
  <c r="H11" i="1" l="1"/>
  <c r="H19" i="1" s="1"/>
  <c r="H14" i="1"/>
  <c r="H15" i="1"/>
  <c r="H16" i="1" s="1"/>
  <c r="F17" i="1"/>
  <c r="F14" i="1"/>
  <c r="F11" i="1"/>
  <c r="F15" i="1" s="1"/>
  <c r="F16" i="1" s="1"/>
  <c r="D16" i="1" l="1"/>
</calcChain>
</file>

<file path=xl/sharedStrings.xml><?xml version="1.0" encoding="utf-8"?>
<sst xmlns="http://schemas.openxmlformats.org/spreadsheetml/2006/main" count="54" uniqueCount="54">
  <si>
    <t>monomer weight</t>
  </si>
  <si>
    <r>
      <rPr>
        <i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=</t>
    </r>
  </si>
  <si>
    <t>g/mol</t>
  </si>
  <si>
    <t>Solvent viscosity</t>
  </si>
  <si>
    <r>
      <rPr>
        <i/>
        <sz val="11"/>
        <color theme="1"/>
        <rFont val="Calibri"/>
        <family val="2"/>
      </rPr>
      <t>η</t>
    </r>
    <r>
      <rPr>
        <i/>
        <sz val="8"/>
        <color theme="1"/>
        <rFont val="Calibri"/>
        <family val="2"/>
      </rPr>
      <t>s</t>
    </r>
    <r>
      <rPr>
        <sz val="11"/>
        <color theme="1"/>
        <rFont val="Calibri"/>
        <family val="2"/>
      </rPr>
      <t xml:space="preserve"> =</t>
    </r>
  </si>
  <si>
    <t>Pa s</t>
  </si>
  <si>
    <t>bond length</t>
  </si>
  <si>
    <r>
      <rPr>
        <i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=</t>
    </r>
  </si>
  <si>
    <t>m</t>
  </si>
  <si>
    <t>Boltzmann const</t>
  </si>
  <si>
    <r>
      <rPr>
        <i/>
        <sz val="11"/>
        <color theme="1"/>
        <rFont val="Calibri"/>
        <family val="2"/>
        <scheme val="minor"/>
      </rPr>
      <t>K</t>
    </r>
    <r>
      <rPr>
        <i/>
        <sz val="8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=</t>
    </r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</si>
  <si>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kg s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 xml:space="preserve"> K</t>
    </r>
    <r>
      <rPr>
        <vertAlign val="superscript"/>
        <sz val="11"/>
        <color theme="1"/>
        <rFont val="Calibri"/>
        <family val="2"/>
        <scheme val="minor"/>
      </rPr>
      <t>-1</t>
    </r>
  </si>
  <si>
    <t>characteristic ratio</t>
  </si>
  <si>
    <r>
      <rPr>
        <i/>
        <sz val="11"/>
        <color theme="1"/>
        <rFont val="Calibri"/>
        <family val="2"/>
        <scheme val="minor"/>
      </rPr>
      <t>C</t>
    </r>
    <r>
      <rPr>
        <sz val="9"/>
        <color theme="1"/>
        <rFont val="Calibri"/>
        <family val="2"/>
      </rPr>
      <t>ꚙ</t>
    </r>
    <r>
      <rPr>
        <sz val="11"/>
        <color theme="1"/>
        <rFont val="Calibri"/>
        <family val="2"/>
        <scheme val="minor"/>
      </rPr>
      <t xml:space="preserve"> =</t>
    </r>
  </si>
  <si>
    <t>Temperature</t>
  </si>
  <si>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 </t>
    </r>
  </si>
  <si>
    <t>K</t>
  </si>
  <si>
    <t>Avogadro constant</t>
  </si>
  <si>
    <r>
      <rPr>
        <i/>
        <sz val="11"/>
        <color theme="1"/>
        <rFont val="Calibri"/>
        <family val="2"/>
        <scheme val="minor"/>
      </rPr>
      <t>NA</t>
    </r>
    <r>
      <rPr>
        <sz val="11"/>
        <color theme="1"/>
        <rFont val="Calibri"/>
        <family val="2"/>
        <scheme val="minor"/>
      </rPr>
      <t xml:space="preserve"> =</t>
    </r>
  </si>
  <si>
    <t>1/mol</t>
  </si>
  <si>
    <t>PS7</t>
  </si>
  <si>
    <t>PS16</t>
  </si>
  <si>
    <t>molecular weight</t>
  </si>
  <si>
    <r>
      <rPr>
        <i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=</t>
    </r>
  </si>
  <si>
    <t>number of bonds</t>
  </si>
  <si>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</t>
    </r>
  </si>
  <si>
    <t>contour length</t>
  </si>
  <si>
    <r>
      <rPr>
        <i/>
        <sz val="11"/>
        <color theme="1"/>
        <rFont val="Calibri"/>
        <family val="2"/>
        <scheme val="minor"/>
      </rPr>
      <t>L</t>
    </r>
    <r>
      <rPr>
        <i/>
        <sz val="9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=</t>
    </r>
  </si>
  <si>
    <t>eq. end-end length</t>
  </si>
  <si>
    <r>
      <rPr>
        <i/>
        <sz val="11"/>
        <color theme="1"/>
        <rFont val="Calibri"/>
        <family val="2"/>
        <scheme val="minor"/>
      </rPr>
      <t>R</t>
    </r>
    <r>
      <rPr>
        <sz val="8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</si>
  <si>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t>radius of gyration</t>
  </si>
  <si>
    <r>
      <rPr>
        <i/>
        <sz val="11"/>
        <color theme="1"/>
        <rFont val="Calibri"/>
        <family val="2"/>
        <scheme val="minor"/>
      </rPr>
      <t>R</t>
    </r>
    <r>
      <rPr>
        <i/>
        <sz val="8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 =</t>
    </r>
  </si>
  <si>
    <t>overlap conc.</t>
  </si>
  <si>
    <r>
      <rPr>
        <i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* =</t>
    </r>
  </si>
  <si>
    <t>max. stretch ratio</t>
  </si>
  <si>
    <r>
      <rPr>
        <i/>
        <sz val="11"/>
        <color theme="1"/>
        <rFont val="Calibri"/>
        <family val="2"/>
        <scheme val="minor"/>
      </rPr>
      <t xml:space="preserve">L </t>
    </r>
    <r>
      <rPr>
        <sz val="11"/>
        <color theme="1"/>
        <rFont val="Calibri"/>
        <family val="2"/>
        <scheme val="minor"/>
      </rPr>
      <t>=</t>
    </r>
  </si>
  <si>
    <r>
      <rPr>
        <i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^2 = </t>
    </r>
  </si>
  <si>
    <t>Zimm time</t>
  </si>
  <si>
    <r>
      <rPr>
        <i/>
        <sz val="11"/>
        <color theme="1"/>
        <rFont val="Calibri"/>
        <family val="2"/>
      </rPr>
      <t>λ</t>
    </r>
    <r>
      <rPr>
        <i/>
        <sz val="8"/>
        <color theme="1"/>
        <rFont val="Calibri"/>
        <family val="2"/>
      </rPr>
      <t>Z</t>
    </r>
    <r>
      <rPr>
        <sz val="11"/>
        <color theme="1"/>
        <rFont val="Calibri"/>
        <family val="2"/>
      </rPr>
      <t xml:space="preserve"> = </t>
    </r>
  </si>
  <si>
    <t xml:space="preserve">Mark-Houwink-Sakurada: </t>
  </si>
  <si>
    <r>
      <t>[</t>
    </r>
    <r>
      <rPr>
        <i/>
        <sz val="11"/>
        <color theme="1"/>
        <rFont val="Calibri"/>
        <family val="2"/>
      </rPr>
      <t>η</t>
    </r>
    <r>
      <rPr>
        <sz val="11"/>
        <color theme="1"/>
        <rFont val="Calibri"/>
        <family val="2"/>
      </rPr>
      <t xml:space="preserve">] = </t>
    </r>
    <r>
      <rPr>
        <i/>
        <sz val="11"/>
        <color theme="1"/>
        <rFont val="Calibri"/>
        <family val="2"/>
      </rPr>
      <t>K</t>
    </r>
    <r>
      <rPr>
        <sz val="11"/>
        <color theme="1"/>
        <rFont val="Calibri"/>
        <family val="2"/>
      </rPr>
      <t>M</t>
    </r>
    <r>
      <rPr>
        <i/>
        <vertAlign val="superscript"/>
        <sz val="11"/>
        <color theme="1"/>
        <rFont val="Calibri"/>
        <family val="2"/>
      </rPr>
      <t>a</t>
    </r>
  </si>
  <si>
    <t>ml/g</t>
  </si>
  <si>
    <t>(DOP is theta-solvent near lab temperature)</t>
  </si>
  <si>
    <r>
      <rPr>
        <i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 = </t>
    </r>
  </si>
  <si>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=</t>
    </r>
  </si>
  <si>
    <t>Relaxation time</t>
  </si>
  <si>
    <r>
      <rPr>
        <i/>
        <sz val="11"/>
        <color theme="1"/>
        <rFont val="Calibri"/>
        <family val="2"/>
      </rPr>
      <t>λη</t>
    </r>
    <r>
      <rPr>
        <sz val="11"/>
        <color theme="1"/>
        <rFont val="Calibri"/>
        <family val="2"/>
      </rPr>
      <t xml:space="preserve"> = </t>
    </r>
  </si>
  <si>
    <t>&lt;- c-c bond length</t>
  </si>
  <si>
    <t>Kuhn Steps</t>
  </si>
  <si>
    <t>L on d</t>
  </si>
  <si>
    <t>diameter</t>
  </si>
  <si>
    <t xml:space="preserve">d = </t>
  </si>
  <si>
    <t xml:space="preserve">L/d = </t>
  </si>
  <si>
    <t>PS0.5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</si>
</sst>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8"/>
      <color theme="1"/>
      <name val="Calibri"/>
      <family val="2"/>
    </font>
    <font>
      <i/>
      <sz val="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color theme="1"/>
      <name val="Calibri"/>
      <family val="2"/>
    </font>
    <font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11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K9" sqref="K9"/>
    </sheetView>
  </sheetViews>
  <sheetFormatPr defaultRowHeight="15" x14ac:dyDescent="0.25"/>
  <cols>
    <col min="4" max="4" width="12" bestFit="1" customWidth="1"/>
  </cols>
  <sheetData>
    <row r="1" spans="1:12" x14ac:dyDescent="0.25">
      <c r="A1" s="1" t="s">
        <v>0</v>
      </c>
      <c r="C1" t="s">
        <v>1</v>
      </c>
      <c r="D1">
        <v>104</v>
      </c>
      <c r="E1" t="s">
        <v>2</v>
      </c>
      <c r="H1" s="1" t="s">
        <v>3</v>
      </c>
      <c r="J1" s="2" t="s">
        <v>4</v>
      </c>
      <c r="K1">
        <v>5.8999999999999997E-2</v>
      </c>
      <c r="L1" t="s">
        <v>5</v>
      </c>
    </row>
    <row r="2" spans="1:12" ht="17.25" x14ac:dyDescent="0.25">
      <c r="A2" s="1" t="s">
        <v>6</v>
      </c>
      <c r="C2" t="s">
        <v>7</v>
      </c>
      <c r="D2" s="3">
        <v>1.5400000000000001E-10</v>
      </c>
      <c r="E2" t="s">
        <v>8</v>
      </c>
      <c r="F2" t="s">
        <v>47</v>
      </c>
      <c r="H2" s="1" t="s">
        <v>9</v>
      </c>
      <c r="J2" t="s">
        <v>10</v>
      </c>
      <c r="K2" s="3">
        <v>1.3806999999999999E-23</v>
      </c>
      <c r="L2" s="4" t="s">
        <v>11</v>
      </c>
    </row>
    <row r="3" spans="1:12" x14ac:dyDescent="0.25">
      <c r="A3" s="1" t="s">
        <v>12</v>
      </c>
      <c r="C3" t="s">
        <v>13</v>
      </c>
      <c r="D3">
        <v>9.6999999999999993</v>
      </c>
      <c r="H3" s="1" t="s">
        <v>14</v>
      </c>
      <c r="J3" t="s">
        <v>15</v>
      </c>
      <c r="K3">
        <v>298</v>
      </c>
      <c r="L3" t="s">
        <v>16</v>
      </c>
    </row>
    <row r="4" spans="1:12" x14ac:dyDescent="0.25">
      <c r="A4" s="1" t="s">
        <v>17</v>
      </c>
      <c r="C4" t="s">
        <v>18</v>
      </c>
      <c r="D4">
        <f>6.022E+23</f>
        <v>6.0220000000000003E+23</v>
      </c>
      <c r="E4" t="s">
        <v>19</v>
      </c>
    </row>
    <row r="5" spans="1:12" x14ac:dyDescent="0.25">
      <c r="A5" s="1" t="s">
        <v>50</v>
      </c>
      <c r="C5" t="s">
        <v>51</v>
      </c>
      <c r="D5" s="3">
        <v>8.9999999999999999E-10</v>
      </c>
    </row>
    <row r="7" spans="1:12" x14ac:dyDescent="0.25">
      <c r="D7" s="1" t="s">
        <v>20</v>
      </c>
      <c r="E7" s="1"/>
      <c r="F7" s="1" t="s">
        <v>21</v>
      </c>
      <c r="G7" s="1"/>
      <c r="H7" s="1" t="s">
        <v>53</v>
      </c>
      <c r="I7" s="1"/>
      <c r="J7" s="1"/>
    </row>
    <row r="9" spans="1:12" x14ac:dyDescent="0.25">
      <c r="A9" s="1" t="s">
        <v>22</v>
      </c>
      <c r="C9" t="s">
        <v>23</v>
      </c>
      <c r="D9" s="3">
        <v>7000000</v>
      </c>
      <c r="F9" s="3">
        <v>16000000</v>
      </c>
      <c r="H9" s="3">
        <v>500000</v>
      </c>
      <c r="J9" s="3"/>
    </row>
    <row r="10" spans="1:12" x14ac:dyDescent="0.25">
      <c r="A10" s="1" t="s">
        <v>24</v>
      </c>
      <c r="C10" t="s">
        <v>25</v>
      </c>
      <c r="D10" s="3">
        <f>2*D$9/$D$1</f>
        <v>134615.38461538462</v>
      </c>
      <c r="F10" s="3">
        <f>2*F$9/$D$1</f>
        <v>307692.30769230769</v>
      </c>
      <c r="H10" s="3">
        <f>2*H$9/$D$1</f>
        <v>9615.3846153846152</v>
      </c>
      <c r="J10" s="3"/>
    </row>
    <row r="11" spans="1:12" x14ac:dyDescent="0.25">
      <c r="A11" s="1" t="s">
        <v>26</v>
      </c>
      <c r="C11" t="s">
        <v>27</v>
      </c>
      <c r="D11" s="3">
        <f>D$10*$D$2</f>
        <v>2.0730769230769234E-5</v>
      </c>
      <c r="F11" s="3">
        <f>F$10*$D$2</f>
        <v>4.7384615384615389E-5</v>
      </c>
      <c r="H11" s="3">
        <f>H$10*$D$2</f>
        <v>1.4807692307692309E-6</v>
      </c>
      <c r="J11" s="3"/>
    </row>
    <row r="12" spans="1:12" x14ac:dyDescent="0.25">
      <c r="A12" s="1" t="s">
        <v>28</v>
      </c>
      <c r="C12" t="s">
        <v>29</v>
      </c>
      <c r="D12">
        <f>SQRT($D$3*D$10*$D$2^2)</f>
        <v>1.7597620031391483E-7</v>
      </c>
      <c r="F12">
        <f>SQRT($D$3*F$10*$D$2^2)</f>
        <v>2.6605100725526008E-7</v>
      </c>
      <c r="H12">
        <f>SQRT($D$3*H$10*$D$2^2)</f>
        <v>4.7031617842926446E-8</v>
      </c>
    </row>
    <row r="13" spans="1:12" x14ac:dyDescent="0.25">
      <c r="A13" s="1" t="s">
        <v>30</v>
      </c>
      <c r="C13" t="s">
        <v>31</v>
      </c>
      <c r="D13">
        <f>D$12/SQRT(6)</f>
        <v>7.1841982940482046E-8</v>
      </c>
      <c r="F13">
        <f>F$12/SQRT(6)</f>
        <v>1.0861486888814875E-7</v>
      </c>
      <c r="H13">
        <f>H$12/SQRT(6)</f>
        <v>1.920057758212444E-8</v>
      </c>
    </row>
    <row r="14" spans="1:12" x14ac:dyDescent="0.25">
      <c r="A14" s="1" t="s">
        <v>32</v>
      </c>
      <c r="C14" t="s">
        <v>33</v>
      </c>
      <c r="D14" s="3">
        <f>D$9/$D$4/(2*D$13)^3</f>
        <v>3918.6129460807974</v>
      </c>
      <c r="F14" s="3">
        <f>F$9/$D$4/(2*F$13)^3</f>
        <v>2591.9188349119868</v>
      </c>
      <c r="H14" s="3">
        <f>H$9/$D$4/(2*H$13)^3</f>
        <v>14662.107075611206</v>
      </c>
      <c r="I14" s="3"/>
      <c r="J14" s="3"/>
    </row>
    <row r="15" spans="1:12" x14ac:dyDescent="0.25">
      <c r="A15" s="1" t="s">
        <v>34</v>
      </c>
      <c r="C15" t="s">
        <v>35</v>
      </c>
      <c r="D15" s="3">
        <f>D$11/D$12</f>
        <v>117.80439169494902</v>
      </c>
      <c r="F15" s="3">
        <f>F$11/F$12</f>
        <v>178.10349930061597</v>
      </c>
      <c r="H15" s="3">
        <f>H$11/H$12</f>
        <v>31.484548027129765</v>
      </c>
      <c r="J15" s="3"/>
    </row>
    <row r="16" spans="1:12" x14ac:dyDescent="0.25">
      <c r="A16" s="1" t="s">
        <v>48</v>
      </c>
      <c r="C16" t="s">
        <v>36</v>
      </c>
      <c r="D16" s="3">
        <f>D$15^2</f>
        <v>13877.874702616973</v>
      </c>
      <c r="F16" s="3">
        <f>F$15^2</f>
        <v>31720.85646312451</v>
      </c>
      <c r="H16" s="3">
        <f>H$15^2</f>
        <v>991.27676447264082</v>
      </c>
      <c r="J16" s="3"/>
    </row>
    <row r="17" spans="1:10" x14ac:dyDescent="0.25">
      <c r="A17" s="1" t="s">
        <v>37</v>
      </c>
      <c r="C17" s="2" t="s">
        <v>38</v>
      </c>
      <c r="D17" s="3">
        <f>0.2*$K$1*D$13^3/$K$2/$K$3</f>
        <v>1.063411496836426E-3</v>
      </c>
      <c r="F17" s="3">
        <f>0.2*$K$1*F$13^3/$K$2/$K$3</f>
        <v>3.6748047176569905E-3</v>
      </c>
      <c r="H17" s="3">
        <f>0.2*$K$1*H$13^3/$K$2/$K$3</f>
        <v>2.030061980774668E-5</v>
      </c>
      <c r="J17" s="3"/>
    </row>
    <row r="18" spans="1:10" x14ac:dyDescent="0.25">
      <c r="A18" s="1" t="s">
        <v>45</v>
      </c>
      <c r="C18" s="2" t="s">
        <v>46</v>
      </c>
      <c r="D18" s="3">
        <f>D9*$G$23*D9^$G$24*$K$1/($D$4*$K$2*$K$3)/1000000</f>
        <v>3.5280336485277196E-2</v>
      </c>
      <c r="F18" s="3">
        <f>F9*$G$23*F9^$G$24*$K$1/($D$4*$K$2*$K$3)/1000000</f>
        <v>0.12191738319767782</v>
      </c>
      <c r="H18" s="3">
        <f>H9*$G$23*H9^$G$24*$K$1/($D$4*$K$2*$K$3)/1000000</f>
        <v>6.7350475315310044E-4</v>
      </c>
    </row>
    <row r="19" spans="1:10" x14ac:dyDescent="0.25">
      <c r="A19" s="1" t="s">
        <v>49</v>
      </c>
      <c r="C19" s="2" t="s">
        <v>52</v>
      </c>
      <c r="D19" s="3">
        <f>D11/$D$5</f>
        <v>23034.188034188039</v>
      </c>
      <c r="F19" s="3">
        <f>F11/$D$5</f>
        <v>52649.572649572656</v>
      </c>
      <c r="G19" s="3"/>
      <c r="H19" s="3">
        <f>H11/$D$5</f>
        <v>1645.2991452991455</v>
      </c>
    </row>
    <row r="23" spans="1:10" ht="17.25" x14ac:dyDescent="0.25">
      <c r="A23" s="1" t="s">
        <v>39</v>
      </c>
      <c r="D23" s="2" t="s">
        <v>40</v>
      </c>
      <c r="F23" t="s">
        <v>43</v>
      </c>
      <c r="G23" s="3">
        <v>0.08</v>
      </c>
      <c r="H23" t="s">
        <v>41</v>
      </c>
    </row>
    <row r="24" spans="1:10" x14ac:dyDescent="0.25">
      <c r="F24" t="s">
        <v>44</v>
      </c>
      <c r="G24">
        <v>0.5</v>
      </c>
      <c r="H24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Isaac Pincus</cp:lastModifiedBy>
  <dcterms:created xsi:type="dcterms:W3CDTF">2024-04-29T23:36:50Z</dcterms:created>
  <dcterms:modified xsi:type="dcterms:W3CDTF">2026-03-08T17:19:26Z</dcterms:modified>
</cp:coreProperties>
</file>