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b806acf26276f0cd/Documents/MATLAB/Polydisperse_Filament_Thinning/Data/"/>
    </mc:Choice>
  </mc:AlternateContent>
  <xr:revisionPtr revIDLastSave="93" documentId="11_A202079F893E95D8718052CAE26F98828A6C55C4" xr6:coauthVersionLast="47" xr6:coauthVersionMax="47" xr10:uidLastSave="{67D70DC1-388E-4F0B-B7CA-E18F7B012E9E}"/>
  <bookViews>
    <workbookView xWindow="-120" yWindow="-120" windowWidth="29040" windowHeight="15720" xr2:uid="{00000000-000D-0000-FFFF-FFFF00000000}"/>
  </bookViews>
  <sheets>
    <sheet name="PS16 in DOP" sheetId="1" r:id="rId1"/>
    <sheet name="PS16 in 200ppmPS7" sheetId="2" r:id="rId2"/>
    <sheet name="PS16 in 500ppmPS7" sheetId="3" r:id="rId3"/>
    <sheet name="PS16 in 1000ppmPS7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5" i="1" l="1"/>
  <c r="I9" i="4"/>
  <c r="C37" i="1"/>
  <c r="C38" i="1"/>
  <c r="B30" i="1"/>
  <c r="D38" i="1"/>
  <c r="E38" i="1"/>
  <c r="D37" i="1"/>
  <c r="E37" i="1"/>
  <c r="B39" i="1"/>
  <c r="C26" i="1"/>
  <c r="E36" i="1"/>
  <c r="D36" i="1"/>
  <c r="B22" i="4"/>
  <c r="B22" i="3"/>
  <c r="C36" i="1"/>
  <c r="B22" i="2"/>
  <c r="D26" i="1"/>
  <c r="E26" i="1"/>
  <c r="F26" i="1"/>
  <c r="G26" i="1"/>
  <c r="H26" i="1"/>
  <c r="C24" i="1"/>
  <c r="C25" i="1"/>
  <c r="D24" i="1"/>
  <c r="E24" i="1"/>
  <c r="F24" i="1"/>
  <c r="G24" i="1"/>
  <c r="H24" i="1"/>
  <c r="D25" i="1"/>
  <c r="E25" i="1"/>
  <c r="F25" i="1"/>
  <c r="G25" i="1"/>
  <c r="C22" i="1"/>
  <c r="D22" i="1"/>
  <c r="E22" i="1"/>
  <c r="F22" i="1"/>
  <c r="G22" i="1"/>
  <c r="H22" i="1"/>
  <c r="B22" i="1"/>
</calcChain>
</file>

<file path=xl/sharedStrings.xml><?xml version="1.0" encoding="utf-8"?>
<sst xmlns="http://schemas.openxmlformats.org/spreadsheetml/2006/main" count="139" uniqueCount="27">
  <si>
    <t>Mp = 16MDa polystyrene (PS16) in pure solvent, dioctyl phthalate (DOP)</t>
  </si>
  <si>
    <t>Shear Rate</t>
  </si>
  <si>
    <t>[1/s]</t>
  </si>
  <si>
    <t>[Pa s]</t>
  </si>
  <si>
    <t>0ppm</t>
  </si>
  <si>
    <t>PS16</t>
  </si>
  <si>
    <t>Viscosity</t>
  </si>
  <si>
    <t>5ppm</t>
  </si>
  <si>
    <t>10ppm</t>
  </si>
  <si>
    <t>20ppm</t>
  </si>
  <si>
    <t>50ppm</t>
  </si>
  <si>
    <t>100ppm</t>
  </si>
  <si>
    <t>200ppm</t>
  </si>
  <si>
    <t>Mp = 16MDa polystyrene (PS16) in 200ppm PS7 in DOP</t>
  </si>
  <si>
    <t>Mp = 16MDa polystyrene (PS16) in 500ppm PS7 in DOP</t>
  </si>
  <si>
    <t>Mp = 16MDa polystyrene (PS16) in 1000ppm PS7 in DOP</t>
  </si>
  <si>
    <t>AVG</t>
  </si>
  <si>
    <t>sub</t>
  </si>
  <si>
    <t>eta*</t>
  </si>
  <si>
    <t>wppm</t>
  </si>
  <si>
    <t>M</t>
  </si>
  <si>
    <t>K</t>
  </si>
  <si>
    <t>a</t>
  </si>
  <si>
    <t>[eta]</t>
  </si>
  <si>
    <t>c (g/m^3)</t>
  </si>
  <si>
    <t>PS7</t>
  </si>
  <si>
    <t>visc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</si>
</sst>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'PS16 in DOP'!$A$9:$A$21</c:f>
              <c:numCache>
                <c:formatCode>General</c:formatCode>
                <c:ptCount val="13"/>
                <c:pt idx="0">
                  <c:v>2</c:v>
                </c:pt>
                <c:pt idx="1">
                  <c:v>2.94</c:v>
                </c:pt>
                <c:pt idx="2">
                  <c:v>4.3099999999999996</c:v>
                </c:pt>
                <c:pt idx="3">
                  <c:v>6.32</c:v>
                </c:pt>
                <c:pt idx="4">
                  <c:v>9.2799999999999994</c:v>
                </c:pt>
                <c:pt idx="5">
                  <c:v>13.6</c:v>
                </c:pt>
                <c:pt idx="6">
                  <c:v>20</c:v>
                </c:pt>
                <c:pt idx="7">
                  <c:v>29.4</c:v>
                </c:pt>
                <c:pt idx="8">
                  <c:v>43.1</c:v>
                </c:pt>
                <c:pt idx="9">
                  <c:v>63.2</c:v>
                </c:pt>
                <c:pt idx="10">
                  <c:v>92.8</c:v>
                </c:pt>
                <c:pt idx="11">
                  <c:v>136</c:v>
                </c:pt>
                <c:pt idx="12">
                  <c:v>200</c:v>
                </c:pt>
              </c:numCache>
            </c:numRef>
          </c:xVal>
          <c:yVal>
            <c:numRef>
              <c:f>'PS16 in DOP'!$B$9:$B$21</c:f>
              <c:numCache>
                <c:formatCode>General</c:formatCode>
                <c:ptCount val="13"/>
                <c:pt idx="0">
                  <c:v>5.645E-2</c:v>
                </c:pt>
                <c:pt idx="1">
                  <c:v>5.6399999999999999E-2</c:v>
                </c:pt>
                <c:pt idx="2">
                  <c:v>5.6399999999999999E-2</c:v>
                </c:pt>
                <c:pt idx="3">
                  <c:v>5.6349999999999997E-2</c:v>
                </c:pt>
                <c:pt idx="4">
                  <c:v>5.62E-2</c:v>
                </c:pt>
                <c:pt idx="5">
                  <c:v>5.62E-2</c:v>
                </c:pt>
                <c:pt idx="6">
                  <c:v>5.6149999999999999E-2</c:v>
                </c:pt>
                <c:pt idx="7">
                  <c:v>5.62E-2</c:v>
                </c:pt>
                <c:pt idx="8">
                  <c:v>5.6050000000000003E-2</c:v>
                </c:pt>
                <c:pt idx="9">
                  <c:v>5.6149999999999999E-2</c:v>
                </c:pt>
                <c:pt idx="10">
                  <c:v>5.5899999999999998E-2</c:v>
                </c:pt>
                <c:pt idx="11">
                  <c:v>5.5899999999999998E-2</c:v>
                </c:pt>
                <c:pt idx="12">
                  <c:v>5.5899999999999998E-2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48F-4693-BF02-52A14F35D5A3}"/>
            </c:ext>
          </c:extLst>
        </c:ser>
        <c:ser>
          <c:idx val="1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'PS16 in DOP'!$A$9:$A$21</c:f>
              <c:numCache>
                <c:formatCode>General</c:formatCode>
                <c:ptCount val="13"/>
                <c:pt idx="0">
                  <c:v>2</c:v>
                </c:pt>
                <c:pt idx="1">
                  <c:v>2.94</c:v>
                </c:pt>
                <c:pt idx="2">
                  <c:v>4.3099999999999996</c:v>
                </c:pt>
                <c:pt idx="3">
                  <c:v>6.32</c:v>
                </c:pt>
                <c:pt idx="4">
                  <c:v>9.2799999999999994</c:v>
                </c:pt>
                <c:pt idx="5">
                  <c:v>13.6</c:v>
                </c:pt>
                <c:pt idx="6">
                  <c:v>20</c:v>
                </c:pt>
                <c:pt idx="7">
                  <c:v>29.4</c:v>
                </c:pt>
                <c:pt idx="8">
                  <c:v>43.1</c:v>
                </c:pt>
                <c:pt idx="9">
                  <c:v>63.2</c:v>
                </c:pt>
                <c:pt idx="10">
                  <c:v>92.8</c:v>
                </c:pt>
                <c:pt idx="11">
                  <c:v>136</c:v>
                </c:pt>
                <c:pt idx="12">
                  <c:v>200</c:v>
                </c:pt>
              </c:numCache>
            </c:numRef>
          </c:xVal>
          <c:yVal>
            <c:numRef>
              <c:f>'PS16 in DOP'!$C$9:$C$21</c:f>
              <c:numCache>
                <c:formatCode>General</c:formatCode>
                <c:ptCount val="13"/>
                <c:pt idx="0">
                  <c:v>5.67E-2</c:v>
                </c:pt>
                <c:pt idx="1">
                  <c:v>5.6899999999999999E-2</c:v>
                </c:pt>
                <c:pt idx="2">
                  <c:v>5.6950000000000001E-2</c:v>
                </c:pt>
                <c:pt idx="3">
                  <c:v>5.6749999999999995E-2</c:v>
                </c:pt>
                <c:pt idx="4">
                  <c:v>5.6550000000000003E-2</c:v>
                </c:pt>
                <c:pt idx="5">
                  <c:v>5.645E-2</c:v>
                </c:pt>
                <c:pt idx="6">
                  <c:v>5.645E-2</c:v>
                </c:pt>
                <c:pt idx="7">
                  <c:v>5.6249999999999994E-2</c:v>
                </c:pt>
                <c:pt idx="8">
                  <c:v>5.6099999999999997E-2</c:v>
                </c:pt>
                <c:pt idx="9">
                  <c:v>5.6050000000000003E-2</c:v>
                </c:pt>
                <c:pt idx="10">
                  <c:v>5.6000000000000001E-2</c:v>
                </c:pt>
                <c:pt idx="11">
                  <c:v>5.5999999999999994E-2</c:v>
                </c:pt>
                <c:pt idx="12">
                  <c:v>5.6000000000000001E-2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48F-4693-BF02-52A14F35D5A3}"/>
            </c:ext>
          </c:extLst>
        </c:ser>
        <c:ser>
          <c:idx val="2"/>
          <c:order val="2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'PS16 in DOP'!$A$9:$A$21</c:f>
              <c:numCache>
                <c:formatCode>General</c:formatCode>
                <c:ptCount val="13"/>
                <c:pt idx="0">
                  <c:v>2</c:v>
                </c:pt>
                <c:pt idx="1">
                  <c:v>2.94</c:v>
                </c:pt>
                <c:pt idx="2">
                  <c:v>4.3099999999999996</c:v>
                </c:pt>
                <c:pt idx="3">
                  <c:v>6.32</c:v>
                </c:pt>
                <c:pt idx="4">
                  <c:v>9.2799999999999994</c:v>
                </c:pt>
                <c:pt idx="5">
                  <c:v>13.6</c:v>
                </c:pt>
                <c:pt idx="6">
                  <c:v>20</c:v>
                </c:pt>
                <c:pt idx="7">
                  <c:v>29.4</c:v>
                </c:pt>
                <c:pt idx="8">
                  <c:v>43.1</c:v>
                </c:pt>
                <c:pt idx="9">
                  <c:v>63.2</c:v>
                </c:pt>
                <c:pt idx="10">
                  <c:v>92.8</c:v>
                </c:pt>
                <c:pt idx="11">
                  <c:v>136</c:v>
                </c:pt>
                <c:pt idx="12">
                  <c:v>200</c:v>
                </c:pt>
              </c:numCache>
            </c:numRef>
          </c:xVal>
          <c:yVal>
            <c:numRef>
              <c:f>'PS16 in DOP'!$D$9:$D$21</c:f>
              <c:numCache>
                <c:formatCode>General</c:formatCode>
                <c:ptCount val="13"/>
                <c:pt idx="0">
                  <c:v>5.7249999999999995E-2</c:v>
                </c:pt>
                <c:pt idx="1">
                  <c:v>5.7450000000000001E-2</c:v>
                </c:pt>
                <c:pt idx="2">
                  <c:v>5.7050000000000003E-2</c:v>
                </c:pt>
                <c:pt idx="3">
                  <c:v>5.6950000000000001E-2</c:v>
                </c:pt>
                <c:pt idx="4">
                  <c:v>5.6950000000000001E-2</c:v>
                </c:pt>
                <c:pt idx="5">
                  <c:v>5.6950000000000001E-2</c:v>
                </c:pt>
                <c:pt idx="6">
                  <c:v>5.6900000000000006E-2</c:v>
                </c:pt>
                <c:pt idx="7">
                  <c:v>5.6849999999999998E-2</c:v>
                </c:pt>
                <c:pt idx="8">
                  <c:v>5.6849999999999998E-2</c:v>
                </c:pt>
                <c:pt idx="9">
                  <c:v>5.6800000000000003E-2</c:v>
                </c:pt>
                <c:pt idx="10">
                  <c:v>5.67E-2</c:v>
                </c:pt>
                <c:pt idx="11">
                  <c:v>5.67E-2</c:v>
                </c:pt>
                <c:pt idx="12">
                  <c:v>5.67E-2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48F-4693-BF02-52A14F35D5A3}"/>
            </c:ext>
          </c:extLst>
        </c:ser>
        <c:ser>
          <c:idx val="3"/>
          <c:order val="3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'PS16 in DOP'!$A$9:$A$21</c:f>
              <c:numCache>
                <c:formatCode>General</c:formatCode>
                <c:ptCount val="13"/>
                <c:pt idx="0">
                  <c:v>2</c:v>
                </c:pt>
                <c:pt idx="1">
                  <c:v>2.94</c:v>
                </c:pt>
                <c:pt idx="2">
                  <c:v>4.3099999999999996</c:v>
                </c:pt>
                <c:pt idx="3">
                  <c:v>6.32</c:v>
                </c:pt>
                <c:pt idx="4">
                  <c:v>9.2799999999999994</c:v>
                </c:pt>
                <c:pt idx="5">
                  <c:v>13.6</c:v>
                </c:pt>
                <c:pt idx="6">
                  <c:v>20</c:v>
                </c:pt>
                <c:pt idx="7">
                  <c:v>29.4</c:v>
                </c:pt>
                <c:pt idx="8">
                  <c:v>43.1</c:v>
                </c:pt>
                <c:pt idx="9">
                  <c:v>63.2</c:v>
                </c:pt>
                <c:pt idx="10">
                  <c:v>92.8</c:v>
                </c:pt>
                <c:pt idx="11">
                  <c:v>136</c:v>
                </c:pt>
                <c:pt idx="12">
                  <c:v>200</c:v>
                </c:pt>
              </c:numCache>
            </c:numRef>
          </c:xVal>
          <c:yVal>
            <c:numRef>
              <c:f>'PS16 in DOP'!$E$9:$E$21</c:f>
              <c:numCache>
                <c:formatCode>General</c:formatCode>
                <c:ptCount val="13"/>
                <c:pt idx="0">
                  <c:v>5.6899999999999999E-2</c:v>
                </c:pt>
                <c:pt idx="1">
                  <c:v>5.6599999999999998E-2</c:v>
                </c:pt>
                <c:pt idx="2">
                  <c:v>5.67E-2</c:v>
                </c:pt>
                <c:pt idx="3">
                  <c:v>5.6599999999999998E-2</c:v>
                </c:pt>
                <c:pt idx="4">
                  <c:v>5.645E-2</c:v>
                </c:pt>
                <c:pt idx="5">
                  <c:v>5.6550000000000003E-2</c:v>
                </c:pt>
                <c:pt idx="6">
                  <c:v>5.6550000000000003E-2</c:v>
                </c:pt>
                <c:pt idx="7">
                  <c:v>5.6500000000000002E-2</c:v>
                </c:pt>
                <c:pt idx="8">
                  <c:v>5.645E-2</c:v>
                </c:pt>
                <c:pt idx="9">
                  <c:v>5.645E-2</c:v>
                </c:pt>
                <c:pt idx="10">
                  <c:v>5.645E-2</c:v>
                </c:pt>
                <c:pt idx="11">
                  <c:v>5.6500000000000002E-2</c:v>
                </c:pt>
                <c:pt idx="12">
                  <c:v>5.6500000000000002E-2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48F-4693-BF02-52A14F35D5A3}"/>
            </c:ext>
          </c:extLst>
        </c:ser>
        <c:ser>
          <c:idx val="4"/>
          <c:order val="4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'PS16 in DOP'!$A$9:$A$21</c:f>
              <c:numCache>
                <c:formatCode>General</c:formatCode>
                <c:ptCount val="13"/>
                <c:pt idx="0">
                  <c:v>2</c:v>
                </c:pt>
                <c:pt idx="1">
                  <c:v>2.94</c:v>
                </c:pt>
                <c:pt idx="2">
                  <c:v>4.3099999999999996</c:v>
                </c:pt>
                <c:pt idx="3">
                  <c:v>6.32</c:v>
                </c:pt>
                <c:pt idx="4">
                  <c:v>9.2799999999999994</c:v>
                </c:pt>
                <c:pt idx="5">
                  <c:v>13.6</c:v>
                </c:pt>
                <c:pt idx="6">
                  <c:v>20</c:v>
                </c:pt>
                <c:pt idx="7">
                  <c:v>29.4</c:v>
                </c:pt>
                <c:pt idx="8">
                  <c:v>43.1</c:v>
                </c:pt>
                <c:pt idx="9">
                  <c:v>63.2</c:v>
                </c:pt>
                <c:pt idx="10">
                  <c:v>92.8</c:v>
                </c:pt>
                <c:pt idx="11">
                  <c:v>136</c:v>
                </c:pt>
                <c:pt idx="12">
                  <c:v>200</c:v>
                </c:pt>
              </c:numCache>
            </c:numRef>
          </c:xVal>
          <c:yVal>
            <c:numRef>
              <c:f>'PS16 in DOP'!$F$9:$F$21</c:f>
              <c:numCache>
                <c:formatCode>General</c:formatCode>
                <c:ptCount val="13"/>
                <c:pt idx="0">
                  <c:v>5.7200000000000001E-2</c:v>
                </c:pt>
                <c:pt idx="1">
                  <c:v>5.6950000000000001E-2</c:v>
                </c:pt>
                <c:pt idx="2">
                  <c:v>5.6650000000000006E-2</c:v>
                </c:pt>
                <c:pt idx="3">
                  <c:v>5.67E-2</c:v>
                </c:pt>
                <c:pt idx="4">
                  <c:v>5.6899999999999999E-2</c:v>
                </c:pt>
                <c:pt idx="5">
                  <c:v>5.6849999999999998E-2</c:v>
                </c:pt>
                <c:pt idx="6">
                  <c:v>5.6950000000000001E-2</c:v>
                </c:pt>
                <c:pt idx="7">
                  <c:v>5.6599999999999998E-2</c:v>
                </c:pt>
                <c:pt idx="8">
                  <c:v>5.6599999999999998E-2</c:v>
                </c:pt>
                <c:pt idx="9">
                  <c:v>5.6599999999999998E-2</c:v>
                </c:pt>
                <c:pt idx="10">
                  <c:v>5.6649999999999999E-2</c:v>
                </c:pt>
                <c:pt idx="11">
                  <c:v>5.67E-2</c:v>
                </c:pt>
                <c:pt idx="12">
                  <c:v>5.6750000000000002E-2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48F-4693-BF02-52A14F35D5A3}"/>
            </c:ext>
          </c:extLst>
        </c:ser>
        <c:ser>
          <c:idx val="5"/>
          <c:order val="5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'PS16 in DOP'!$A$9:$A$21</c:f>
              <c:numCache>
                <c:formatCode>General</c:formatCode>
                <c:ptCount val="13"/>
                <c:pt idx="0">
                  <c:v>2</c:v>
                </c:pt>
                <c:pt idx="1">
                  <c:v>2.94</c:v>
                </c:pt>
                <c:pt idx="2">
                  <c:v>4.3099999999999996</c:v>
                </c:pt>
                <c:pt idx="3">
                  <c:v>6.32</c:v>
                </c:pt>
                <c:pt idx="4">
                  <c:v>9.2799999999999994</c:v>
                </c:pt>
                <c:pt idx="5">
                  <c:v>13.6</c:v>
                </c:pt>
                <c:pt idx="6">
                  <c:v>20</c:v>
                </c:pt>
                <c:pt idx="7">
                  <c:v>29.4</c:v>
                </c:pt>
                <c:pt idx="8">
                  <c:v>43.1</c:v>
                </c:pt>
                <c:pt idx="9">
                  <c:v>63.2</c:v>
                </c:pt>
                <c:pt idx="10">
                  <c:v>92.8</c:v>
                </c:pt>
                <c:pt idx="11">
                  <c:v>136</c:v>
                </c:pt>
                <c:pt idx="12">
                  <c:v>200</c:v>
                </c:pt>
              </c:numCache>
            </c:numRef>
          </c:xVal>
          <c:yVal>
            <c:numRef>
              <c:f>'PS16 in DOP'!$G$9:$G$21</c:f>
              <c:numCache>
                <c:formatCode>General</c:formatCode>
                <c:ptCount val="13"/>
                <c:pt idx="0">
                  <c:v>5.7300000000000004E-2</c:v>
                </c:pt>
                <c:pt idx="1">
                  <c:v>5.7349999999999998E-2</c:v>
                </c:pt>
                <c:pt idx="2">
                  <c:v>5.7300000000000004E-2</c:v>
                </c:pt>
                <c:pt idx="3">
                  <c:v>5.7200000000000001E-2</c:v>
                </c:pt>
                <c:pt idx="4">
                  <c:v>5.7149999999999999E-2</c:v>
                </c:pt>
                <c:pt idx="5">
                  <c:v>5.7149999999999999E-2</c:v>
                </c:pt>
                <c:pt idx="6">
                  <c:v>5.7050000000000003E-2</c:v>
                </c:pt>
                <c:pt idx="7">
                  <c:v>5.7099999999999998E-2</c:v>
                </c:pt>
                <c:pt idx="8">
                  <c:v>5.7099999999999998E-2</c:v>
                </c:pt>
                <c:pt idx="9">
                  <c:v>5.7149999999999999E-2</c:v>
                </c:pt>
                <c:pt idx="10">
                  <c:v>5.7099999999999998E-2</c:v>
                </c:pt>
                <c:pt idx="11">
                  <c:v>5.7200000000000001E-2</c:v>
                </c:pt>
                <c:pt idx="12">
                  <c:v>5.7299999999999997E-2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48F-4693-BF02-52A14F35D5A3}"/>
            </c:ext>
          </c:extLst>
        </c:ser>
        <c:ser>
          <c:idx val="6"/>
          <c:order val="6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'PS16 in DOP'!$A$9:$A$21</c:f>
              <c:numCache>
                <c:formatCode>General</c:formatCode>
                <c:ptCount val="13"/>
                <c:pt idx="0">
                  <c:v>2</c:v>
                </c:pt>
                <c:pt idx="1">
                  <c:v>2.94</c:v>
                </c:pt>
                <c:pt idx="2">
                  <c:v>4.3099999999999996</c:v>
                </c:pt>
                <c:pt idx="3">
                  <c:v>6.32</c:v>
                </c:pt>
                <c:pt idx="4">
                  <c:v>9.2799999999999994</c:v>
                </c:pt>
                <c:pt idx="5">
                  <c:v>13.6</c:v>
                </c:pt>
                <c:pt idx="6">
                  <c:v>20</c:v>
                </c:pt>
                <c:pt idx="7">
                  <c:v>29.4</c:v>
                </c:pt>
                <c:pt idx="8">
                  <c:v>43.1</c:v>
                </c:pt>
                <c:pt idx="9">
                  <c:v>63.2</c:v>
                </c:pt>
                <c:pt idx="10">
                  <c:v>92.8</c:v>
                </c:pt>
                <c:pt idx="11">
                  <c:v>136</c:v>
                </c:pt>
                <c:pt idx="12">
                  <c:v>200</c:v>
                </c:pt>
              </c:numCache>
            </c:numRef>
          </c:xVal>
          <c:yVal>
            <c:numRef>
              <c:f>'PS16 in DOP'!$H$9:$H$21</c:f>
              <c:numCache>
                <c:formatCode>General</c:formatCode>
                <c:ptCount val="13"/>
                <c:pt idx="0">
                  <c:v>5.9950000000000003E-2</c:v>
                </c:pt>
                <c:pt idx="1">
                  <c:v>5.9499999999999997E-2</c:v>
                </c:pt>
                <c:pt idx="2">
                  <c:v>5.9499999999999997E-2</c:v>
                </c:pt>
                <c:pt idx="3">
                  <c:v>5.9150000000000001E-2</c:v>
                </c:pt>
                <c:pt idx="4">
                  <c:v>5.9150000000000001E-2</c:v>
                </c:pt>
                <c:pt idx="5">
                  <c:v>5.8799999999999998E-2</c:v>
                </c:pt>
                <c:pt idx="6">
                  <c:v>5.8650000000000001E-2</c:v>
                </c:pt>
                <c:pt idx="7">
                  <c:v>5.8550000000000005E-2</c:v>
                </c:pt>
                <c:pt idx="8">
                  <c:v>5.8400000000000001E-2</c:v>
                </c:pt>
                <c:pt idx="9">
                  <c:v>5.8400000000000001E-2</c:v>
                </c:pt>
                <c:pt idx="10">
                  <c:v>5.8349999999999999E-2</c:v>
                </c:pt>
                <c:pt idx="11">
                  <c:v>5.8500000000000003E-2</c:v>
                </c:pt>
                <c:pt idx="12">
                  <c:v>5.8799999999999998E-2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48F-4693-BF02-52A14F35D5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9785391"/>
        <c:axId val="959749247"/>
      </c:scatterChart>
      <c:valAx>
        <c:axId val="959785391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9749247"/>
        <c:crosses val="autoZero"/>
        <c:crossBetween val="midCat"/>
      </c:valAx>
      <c:valAx>
        <c:axId val="959749247"/>
        <c:scaling>
          <c:logBase val="10"/>
          <c:orientation val="minMax"/>
          <c:max val="0.1"/>
          <c:min val="5.000000000000001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97853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'PS16 in DOP'!$C$23:$H$23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20</c:v>
                </c:pt>
                <c:pt idx="3">
                  <c:v>50</c:v>
                </c:pt>
                <c:pt idx="4">
                  <c:v>100</c:v>
                </c:pt>
                <c:pt idx="5">
                  <c:v>200</c:v>
                </c:pt>
              </c:numCache>
            </c:numRef>
          </c:xVal>
          <c:yVal>
            <c:numRef>
              <c:f>'PS16 in DOP'!$C$25:$H$25</c:f>
              <c:numCache>
                <c:formatCode>General</c:formatCode>
                <c:ptCount val="6"/>
                <c:pt idx="0">
                  <c:v>2.2307692307693694E-4</c:v>
                </c:pt>
                <c:pt idx="1">
                  <c:v>7.576923076922995E-4</c:v>
                </c:pt>
                <c:pt idx="2">
                  <c:v>3.807692307692262E-4</c:v>
                </c:pt>
                <c:pt idx="3">
                  <c:v>6.0384615384614232E-4</c:v>
                </c:pt>
                <c:pt idx="4">
                  <c:v>1.0153846153846194E-3</c:v>
                </c:pt>
                <c:pt idx="5">
                  <c:v>2.7269230769230712E-3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731-43C9-9522-F82C3FC50F32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'PS16 in DOP'!$C$23:$H$23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20</c:v>
                </c:pt>
                <c:pt idx="3">
                  <c:v>50</c:v>
                </c:pt>
                <c:pt idx="4">
                  <c:v>100</c:v>
                </c:pt>
                <c:pt idx="5">
                  <c:v>200</c:v>
                </c:pt>
              </c:numCache>
            </c:numRef>
          </c:xVal>
          <c:yVal>
            <c:numRef>
              <c:f>'PS16 in DOP'!$C$26:$H$26</c:f>
              <c:numCache>
                <c:formatCode>0.00E+00</c:formatCode>
                <c:ptCount val="6"/>
                <c:pt idx="0">
                  <c:v>7.9424854501887845E-4</c:v>
                </c:pt>
                <c:pt idx="1">
                  <c:v>1.3435176976062048E-3</c:v>
                </c:pt>
                <c:pt idx="2">
                  <c:v>3.3441426834211199E-4</c:v>
                </c:pt>
                <c:pt idx="3">
                  <c:v>2.1354733405875545E-4</c:v>
                </c:pt>
                <c:pt idx="4">
                  <c:v>1.7883755588673695E-4</c:v>
                </c:pt>
                <c:pt idx="5">
                  <c:v>2.3841549532584519E-4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731-43C9-9522-F82C3FC50F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1121168"/>
        <c:axId val="651126448"/>
      </c:scatterChart>
      <c:valAx>
        <c:axId val="651121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1126448"/>
        <c:crosses val="autoZero"/>
        <c:crossBetween val="midCat"/>
      </c:valAx>
      <c:valAx>
        <c:axId val="651126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11211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'PS16 in 200ppmPS7'!$A$9:$A$25</c:f>
              <c:numCache>
                <c:formatCode>General</c:formatCode>
                <c:ptCount val="17"/>
                <c:pt idx="0">
                  <c:v>2</c:v>
                </c:pt>
                <c:pt idx="1">
                  <c:v>2.94</c:v>
                </c:pt>
                <c:pt idx="2">
                  <c:v>4.3099999999999996</c:v>
                </c:pt>
                <c:pt idx="3">
                  <c:v>6.32</c:v>
                </c:pt>
                <c:pt idx="4">
                  <c:v>9.2799999999999994</c:v>
                </c:pt>
                <c:pt idx="5">
                  <c:v>13.6</c:v>
                </c:pt>
                <c:pt idx="6">
                  <c:v>20</c:v>
                </c:pt>
                <c:pt idx="7">
                  <c:v>29.4</c:v>
                </c:pt>
                <c:pt idx="8">
                  <c:v>43.1</c:v>
                </c:pt>
                <c:pt idx="9">
                  <c:v>63.2</c:v>
                </c:pt>
                <c:pt idx="10">
                  <c:v>92.8</c:v>
                </c:pt>
                <c:pt idx="11">
                  <c:v>136</c:v>
                </c:pt>
                <c:pt idx="12">
                  <c:v>200</c:v>
                </c:pt>
              </c:numCache>
            </c:numRef>
          </c:xVal>
          <c:yVal>
            <c:numRef>
              <c:f>'PS16 in 200ppmPS7'!$B$9:$B$25</c:f>
              <c:numCache>
                <c:formatCode>General</c:formatCode>
                <c:ptCount val="17"/>
                <c:pt idx="0">
                  <c:v>5.8400000000000001E-2</c:v>
                </c:pt>
                <c:pt idx="1">
                  <c:v>5.8249999999999996E-2</c:v>
                </c:pt>
                <c:pt idx="2">
                  <c:v>5.8299999999999998E-2</c:v>
                </c:pt>
                <c:pt idx="3">
                  <c:v>5.7999999999999996E-2</c:v>
                </c:pt>
                <c:pt idx="4">
                  <c:v>5.8099999999999999E-2</c:v>
                </c:pt>
                <c:pt idx="5">
                  <c:v>5.7999999999999996E-2</c:v>
                </c:pt>
                <c:pt idx="6">
                  <c:v>5.7950000000000002E-2</c:v>
                </c:pt>
                <c:pt idx="7">
                  <c:v>5.79E-2</c:v>
                </c:pt>
                <c:pt idx="8">
                  <c:v>5.7849999999999999E-2</c:v>
                </c:pt>
                <c:pt idx="9">
                  <c:v>5.7799999999999997E-2</c:v>
                </c:pt>
                <c:pt idx="10">
                  <c:v>5.7700000000000001E-2</c:v>
                </c:pt>
                <c:pt idx="11">
                  <c:v>5.7700000000000001E-2</c:v>
                </c:pt>
                <c:pt idx="12">
                  <c:v>5.765E-2</c:v>
                </c:pt>
                <c:pt idx="13">
                  <c:v>5.7969230769230759E-2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9A3-45A8-AC51-4BAF8F8AD8A8}"/>
            </c:ext>
          </c:extLst>
        </c:ser>
        <c:ser>
          <c:idx val="1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'PS16 in 200ppmPS7'!$A$9:$A$25</c:f>
              <c:numCache>
                <c:formatCode>General</c:formatCode>
                <c:ptCount val="17"/>
                <c:pt idx="0">
                  <c:v>2</c:v>
                </c:pt>
                <c:pt idx="1">
                  <c:v>2.94</c:v>
                </c:pt>
                <c:pt idx="2">
                  <c:v>4.3099999999999996</c:v>
                </c:pt>
                <c:pt idx="3">
                  <c:v>6.32</c:v>
                </c:pt>
                <c:pt idx="4">
                  <c:v>9.2799999999999994</c:v>
                </c:pt>
                <c:pt idx="5">
                  <c:v>13.6</c:v>
                </c:pt>
                <c:pt idx="6">
                  <c:v>20</c:v>
                </c:pt>
                <c:pt idx="7">
                  <c:v>29.4</c:v>
                </c:pt>
                <c:pt idx="8">
                  <c:v>43.1</c:v>
                </c:pt>
                <c:pt idx="9">
                  <c:v>63.2</c:v>
                </c:pt>
                <c:pt idx="10">
                  <c:v>92.8</c:v>
                </c:pt>
                <c:pt idx="11">
                  <c:v>136</c:v>
                </c:pt>
                <c:pt idx="12">
                  <c:v>200</c:v>
                </c:pt>
              </c:numCache>
            </c:numRef>
          </c:xVal>
          <c:yVal>
            <c:numRef>
              <c:f>'PS16 in 200ppmPS7'!$C$9:$C$25</c:f>
              <c:numCache>
                <c:formatCode>General</c:formatCode>
                <c:ptCount val="17"/>
                <c:pt idx="0">
                  <c:v>5.9150000000000001E-2</c:v>
                </c:pt>
                <c:pt idx="1">
                  <c:v>5.8550000000000005E-2</c:v>
                </c:pt>
                <c:pt idx="2">
                  <c:v>5.8450000000000002E-2</c:v>
                </c:pt>
                <c:pt idx="3">
                  <c:v>5.8499999999999996E-2</c:v>
                </c:pt>
                <c:pt idx="4">
                  <c:v>5.8499999999999996E-2</c:v>
                </c:pt>
                <c:pt idx="5">
                  <c:v>5.8499999999999996E-2</c:v>
                </c:pt>
                <c:pt idx="6">
                  <c:v>5.8099999999999999E-2</c:v>
                </c:pt>
                <c:pt idx="7">
                  <c:v>5.8200000000000002E-2</c:v>
                </c:pt>
                <c:pt idx="8">
                  <c:v>5.8099999999999999E-2</c:v>
                </c:pt>
                <c:pt idx="9">
                  <c:v>5.8050000000000004E-2</c:v>
                </c:pt>
                <c:pt idx="10">
                  <c:v>5.8099999999999999E-2</c:v>
                </c:pt>
                <c:pt idx="11">
                  <c:v>5.7799999999999997E-2</c:v>
                </c:pt>
                <c:pt idx="12">
                  <c:v>5.7799999999999997E-2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9A3-45A8-AC51-4BAF8F8AD8A8}"/>
            </c:ext>
          </c:extLst>
        </c:ser>
        <c:ser>
          <c:idx val="2"/>
          <c:order val="2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'PS16 in 200ppmPS7'!$A$9:$A$25</c:f>
              <c:numCache>
                <c:formatCode>General</c:formatCode>
                <c:ptCount val="17"/>
                <c:pt idx="0">
                  <c:v>2</c:v>
                </c:pt>
                <c:pt idx="1">
                  <c:v>2.94</c:v>
                </c:pt>
                <c:pt idx="2">
                  <c:v>4.3099999999999996</c:v>
                </c:pt>
                <c:pt idx="3">
                  <c:v>6.32</c:v>
                </c:pt>
                <c:pt idx="4">
                  <c:v>9.2799999999999994</c:v>
                </c:pt>
                <c:pt idx="5">
                  <c:v>13.6</c:v>
                </c:pt>
                <c:pt idx="6">
                  <c:v>20</c:v>
                </c:pt>
                <c:pt idx="7">
                  <c:v>29.4</c:v>
                </c:pt>
                <c:pt idx="8">
                  <c:v>43.1</c:v>
                </c:pt>
                <c:pt idx="9">
                  <c:v>63.2</c:v>
                </c:pt>
                <c:pt idx="10">
                  <c:v>92.8</c:v>
                </c:pt>
                <c:pt idx="11">
                  <c:v>136</c:v>
                </c:pt>
                <c:pt idx="12">
                  <c:v>200</c:v>
                </c:pt>
              </c:numCache>
            </c:numRef>
          </c:xVal>
          <c:yVal>
            <c:numRef>
              <c:f>'PS16 in 200ppmPS7'!$D$9:$D$25</c:f>
              <c:numCache>
                <c:formatCode>General</c:formatCode>
                <c:ptCount val="17"/>
                <c:pt idx="0">
                  <c:v>5.885E-2</c:v>
                </c:pt>
                <c:pt idx="1">
                  <c:v>5.8700000000000002E-2</c:v>
                </c:pt>
                <c:pt idx="2">
                  <c:v>5.8700000000000002E-2</c:v>
                </c:pt>
                <c:pt idx="3">
                  <c:v>5.8700000000000002E-2</c:v>
                </c:pt>
                <c:pt idx="4">
                  <c:v>5.8700000000000002E-2</c:v>
                </c:pt>
                <c:pt idx="5">
                  <c:v>5.8650000000000001E-2</c:v>
                </c:pt>
                <c:pt idx="6">
                  <c:v>5.8450000000000002E-2</c:v>
                </c:pt>
                <c:pt idx="7">
                  <c:v>5.8549999999999998E-2</c:v>
                </c:pt>
                <c:pt idx="8">
                  <c:v>5.8450000000000002E-2</c:v>
                </c:pt>
                <c:pt idx="9">
                  <c:v>5.8349999999999999E-2</c:v>
                </c:pt>
                <c:pt idx="10">
                  <c:v>5.8200000000000002E-2</c:v>
                </c:pt>
                <c:pt idx="11">
                  <c:v>5.8200000000000002E-2</c:v>
                </c:pt>
                <c:pt idx="12">
                  <c:v>5.8200000000000002E-2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9A3-45A8-AC51-4BAF8F8AD8A8}"/>
            </c:ext>
          </c:extLst>
        </c:ser>
        <c:ser>
          <c:idx val="3"/>
          <c:order val="3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'PS16 in 200ppmPS7'!$A$9:$A$25</c:f>
              <c:numCache>
                <c:formatCode>General</c:formatCode>
                <c:ptCount val="17"/>
                <c:pt idx="0">
                  <c:v>2</c:v>
                </c:pt>
                <c:pt idx="1">
                  <c:v>2.94</c:v>
                </c:pt>
                <c:pt idx="2">
                  <c:v>4.3099999999999996</c:v>
                </c:pt>
                <c:pt idx="3">
                  <c:v>6.32</c:v>
                </c:pt>
                <c:pt idx="4">
                  <c:v>9.2799999999999994</c:v>
                </c:pt>
                <c:pt idx="5">
                  <c:v>13.6</c:v>
                </c:pt>
                <c:pt idx="6">
                  <c:v>20</c:v>
                </c:pt>
                <c:pt idx="7">
                  <c:v>29.4</c:v>
                </c:pt>
                <c:pt idx="8">
                  <c:v>43.1</c:v>
                </c:pt>
                <c:pt idx="9">
                  <c:v>63.2</c:v>
                </c:pt>
                <c:pt idx="10">
                  <c:v>92.8</c:v>
                </c:pt>
                <c:pt idx="11">
                  <c:v>136</c:v>
                </c:pt>
                <c:pt idx="12">
                  <c:v>200</c:v>
                </c:pt>
              </c:numCache>
            </c:numRef>
          </c:xVal>
          <c:yVal>
            <c:numRef>
              <c:f>'PS16 in 200ppmPS7'!$E$9:$E$25</c:f>
              <c:numCache>
                <c:formatCode>General</c:formatCode>
                <c:ptCount val="17"/>
                <c:pt idx="0">
                  <c:v>5.9499999999999997E-2</c:v>
                </c:pt>
                <c:pt idx="1">
                  <c:v>5.91E-2</c:v>
                </c:pt>
                <c:pt idx="2">
                  <c:v>5.8950000000000002E-2</c:v>
                </c:pt>
                <c:pt idx="3">
                  <c:v>5.8900000000000001E-2</c:v>
                </c:pt>
                <c:pt idx="4">
                  <c:v>5.885E-2</c:v>
                </c:pt>
                <c:pt idx="5">
                  <c:v>5.8899999999999994E-2</c:v>
                </c:pt>
                <c:pt idx="6">
                  <c:v>5.8900000000000001E-2</c:v>
                </c:pt>
                <c:pt idx="7">
                  <c:v>5.8950000000000002E-2</c:v>
                </c:pt>
                <c:pt idx="8">
                  <c:v>5.8749999999999997E-2</c:v>
                </c:pt>
                <c:pt idx="9">
                  <c:v>5.8749999999999997E-2</c:v>
                </c:pt>
                <c:pt idx="10">
                  <c:v>5.8599999999999999E-2</c:v>
                </c:pt>
                <c:pt idx="11">
                  <c:v>5.8550000000000005E-2</c:v>
                </c:pt>
                <c:pt idx="12">
                  <c:v>5.8550000000000005E-2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9A3-45A8-AC51-4BAF8F8AD8A8}"/>
            </c:ext>
          </c:extLst>
        </c:ser>
        <c:ser>
          <c:idx val="4"/>
          <c:order val="4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'PS16 in 200ppmPS7'!$A$9:$A$25</c:f>
              <c:numCache>
                <c:formatCode>General</c:formatCode>
                <c:ptCount val="17"/>
                <c:pt idx="0">
                  <c:v>2</c:v>
                </c:pt>
                <c:pt idx="1">
                  <c:v>2.94</c:v>
                </c:pt>
                <c:pt idx="2">
                  <c:v>4.3099999999999996</c:v>
                </c:pt>
                <c:pt idx="3">
                  <c:v>6.32</c:v>
                </c:pt>
                <c:pt idx="4">
                  <c:v>9.2799999999999994</c:v>
                </c:pt>
                <c:pt idx="5">
                  <c:v>13.6</c:v>
                </c:pt>
                <c:pt idx="6">
                  <c:v>20</c:v>
                </c:pt>
                <c:pt idx="7">
                  <c:v>29.4</c:v>
                </c:pt>
                <c:pt idx="8">
                  <c:v>43.1</c:v>
                </c:pt>
                <c:pt idx="9">
                  <c:v>63.2</c:v>
                </c:pt>
                <c:pt idx="10">
                  <c:v>92.8</c:v>
                </c:pt>
                <c:pt idx="11">
                  <c:v>136</c:v>
                </c:pt>
                <c:pt idx="12">
                  <c:v>200</c:v>
                </c:pt>
              </c:numCache>
            </c:numRef>
          </c:xVal>
          <c:yVal>
            <c:numRef>
              <c:f>'PS16 in 200ppmPS7'!$F$9:$F$25</c:f>
              <c:numCache>
                <c:formatCode>General</c:formatCode>
                <c:ptCount val="17"/>
                <c:pt idx="0">
                  <c:v>5.9549999999999999E-2</c:v>
                </c:pt>
                <c:pt idx="1">
                  <c:v>5.9450000000000003E-2</c:v>
                </c:pt>
                <c:pt idx="2">
                  <c:v>5.9200000000000003E-2</c:v>
                </c:pt>
                <c:pt idx="3">
                  <c:v>5.8650000000000001E-2</c:v>
                </c:pt>
                <c:pt idx="4">
                  <c:v>5.9200000000000003E-2</c:v>
                </c:pt>
                <c:pt idx="5">
                  <c:v>5.8950000000000002E-2</c:v>
                </c:pt>
                <c:pt idx="6">
                  <c:v>5.8599999999999999E-2</c:v>
                </c:pt>
                <c:pt idx="7">
                  <c:v>5.8499999999999996E-2</c:v>
                </c:pt>
                <c:pt idx="8">
                  <c:v>5.8450000000000002E-2</c:v>
                </c:pt>
                <c:pt idx="9">
                  <c:v>5.8299999999999998E-2</c:v>
                </c:pt>
                <c:pt idx="10">
                  <c:v>5.8249999999999996E-2</c:v>
                </c:pt>
                <c:pt idx="11">
                  <c:v>5.8299999999999998E-2</c:v>
                </c:pt>
                <c:pt idx="12">
                  <c:v>5.8299999999999998E-2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9A3-45A8-AC51-4BAF8F8AD8A8}"/>
            </c:ext>
          </c:extLst>
        </c:ser>
        <c:ser>
          <c:idx val="5"/>
          <c:order val="5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'PS16 in 200ppmPS7'!$A$9:$A$25</c:f>
              <c:numCache>
                <c:formatCode>General</c:formatCode>
                <c:ptCount val="17"/>
                <c:pt idx="0">
                  <c:v>2</c:v>
                </c:pt>
                <c:pt idx="1">
                  <c:v>2.94</c:v>
                </c:pt>
                <c:pt idx="2">
                  <c:v>4.3099999999999996</c:v>
                </c:pt>
                <c:pt idx="3">
                  <c:v>6.32</c:v>
                </c:pt>
                <c:pt idx="4">
                  <c:v>9.2799999999999994</c:v>
                </c:pt>
                <c:pt idx="5">
                  <c:v>13.6</c:v>
                </c:pt>
                <c:pt idx="6">
                  <c:v>20</c:v>
                </c:pt>
                <c:pt idx="7">
                  <c:v>29.4</c:v>
                </c:pt>
                <c:pt idx="8">
                  <c:v>43.1</c:v>
                </c:pt>
                <c:pt idx="9">
                  <c:v>63.2</c:v>
                </c:pt>
                <c:pt idx="10">
                  <c:v>92.8</c:v>
                </c:pt>
                <c:pt idx="11">
                  <c:v>136</c:v>
                </c:pt>
                <c:pt idx="12">
                  <c:v>200</c:v>
                </c:pt>
              </c:numCache>
            </c:numRef>
          </c:xVal>
          <c:yVal>
            <c:numRef>
              <c:f>'PS16 in 200ppmPS7'!$G$9:$G$25</c:f>
              <c:numCache>
                <c:formatCode>General</c:formatCode>
                <c:ptCount val="17"/>
                <c:pt idx="0">
                  <c:v>5.9799999999999999E-2</c:v>
                </c:pt>
                <c:pt idx="1">
                  <c:v>5.9799999999999999E-2</c:v>
                </c:pt>
                <c:pt idx="2">
                  <c:v>5.9800000000000006E-2</c:v>
                </c:pt>
                <c:pt idx="3">
                  <c:v>5.9749999999999998E-2</c:v>
                </c:pt>
                <c:pt idx="4">
                  <c:v>5.9700000000000003E-2</c:v>
                </c:pt>
                <c:pt idx="5">
                  <c:v>5.96E-2</c:v>
                </c:pt>
                <c:pt idx="6">
                  <c:v>5.96E-2</c:v>
                </c:pt>
                <c:pt idx="7">
                  <c:v>5.9450000000000003E-2</c:v>
                </c:pt>
                <c:pt idx="8">
                  <c:v>5.935E-2</c:v>
                </c:pt>
                <c:pt idx="9">
                  <c:v>5.9249999999999997E-2</c:v>
                </c:pt>
                <c:pt idx="10">
                  <c:v>5.9249999999999997E-2</c:v>
                </c:pt>
                <c:pt idx="11">
                  <c:v>5.9249999999999997E-2</c:v>
                </c:pt>
                <c:pt idx="12">
                  <c:v>5.9249999999999997E-2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9A3-45A8-AC51-4BAF8F8AD8A8}"/>
            </c:ext>
          </c:extLst>
        </c:ser>
        <c:ser>
          <c:idx val="6"/>
          <c:order val="6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'PS16 in 200ppmPS7'!$A$9:$A$25</c:f>
              <c:numCache>
                <c:formatCode>General</c:formatCode>
                <c:ptCount val="17"/>
                <c:pt idx="0">
                  <c:v>2</c:v>
                </c:pt>
                <c:pt idx="1">
                  <c:v>2.94</c:v>
                </c:pt>
                <c:pt idx="2">
                  <c:v>4.3099999999999996</c:v>
                </c:pt>
                <c:pt idx="3">
                  <c:v>6.32</c:v>
                </c:pt>
                <c:pt idx="4">
                  <c:v>9.2799999999999994</c:v>
                </c:pt>
                <c:pt idx="5">
                  <c:v>13.6</c:v>
                </c:pt>
                <c:pt idx="6">
                  <c:v>20</c:v>
                </c:pt>
                <c:pt idx="7">
                  <c:v>29.4</c:v>
                </c:pt>
                <c:pt idx="8">
                  <c:v>43.1</c:v>
                </c:pt>
                <c:pt idx="9">
                  <c:v>63.2</c:v>
                </c:pt>
                <c:pt idx="10">
                  <c:v>92.8</c:v>
                </c:pt>
                <c:pt idx="11">
                  <c:v>136</c:v>
                </c:pt>
                <c:pt idx="12">
                  <c:v>200</c:v>
                </c:pt>
              </c:numCache>
            </c:numRef>
          </c:xVal>
          <c:yVal>
            <c:numRef>
              <c:f>'PS16 in 200ppmPS7'!$H$9:$H$25</c:f>
              <c:numCache>
                <c:formatCode>General</c:formatCode>
                <c:ptCount val="17"/>
                <c:pt idx="0">
                  <c:v>6.2E-2</c:v>
                </c:pt>
                <c:pt idx="1">
                  <c:v>6.225E-2</c:v>
                </c:pt>
                <c:pt idx="2">
                  <c:v>6.2100000000000002E-2</c:v>
                </c:pt>
                <c:pt idx="3">
                  <c:v>6.1799999999999994E-2</c:v>
                </c:pt>
                <c:pt idx="4">
                  <c:v>6.1850000000000002E-2</c:v>
                </c:pt>
                <c:pt idx="5">
                  <c:v>6.1499999999999999E-2</c:v>
                </c:pt>
                <c:pt idx="6">
                  <c:v>6.1249999999999999E-2</c:v>
                </c:pt>
                <c:pt idx="7">
                  <c:v>6.1100000000000002E-2</c:v>
                </c:pt>
                <c:pt idx="8">
                  <c:v>6.0899999999999996E-2</c:v>
                </c:pt>
                <c:pt idx="9">
                  <c:v>6.0850000000000001E-2</c:v>
                </c:pt>
                <c:pt idx="10">
                  <c:v>6.08E-2</c:v>
                </c:pt>
                <c:pt idx="11">
                  <c:v>6.08E-2</c:v>
                </c:pt>
                <c:pt idx="12">
                  <c:v>6.0999999999999999E-2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9A3-45A8-AC51-4BAF8F8AD8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9785391"/>
        <c:axId val="959749247"/>
      </c:scatterChart>
      <c:valAx>
        <c:axId val="959785391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9749247"/>
        <c:crosses val="autoZero"/>
        <c:crossBetween val="midCat"/>
      </c:valAx>
      <c:valAx>
        <c:axId val="959749247"/>
        <c:scaling>
          <c:logBase val="10"/>
          <c:orientation val="minMax"/>
          <c:max val="0.1"/>
          <c:min val="5.000000000000001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97853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'PS16 in 500ppmPS7'!$A$9:$A$25</c:f>
              <c:numCache>
                <c:formatCode>General</c:formatCode>
                <c:ptCount val="17"/>
                <c:pt idx="0">
                  <c:v>2</c:v>
                </c:pt>
                <c:pt idx="1">
                  <c:v>2.94</c:v>
                </c:pt>
                <c:pt idx="2">
                  <c:v>4.3099999999999996</c:v>
                </c:pt>
                <c:pt idx="3">
                  <c:v>6.32</c:v>
                </c:pt>
                <c:pt idx="4">
                  <c:v>9.2799999999999994</c:v>
                </c:pt>
                <c:pt idx="5">
                  <c:v>13.6</c:v>
                </c:pt>
                <c:pt idx="6">
                  <c:v>20</c:v>
                </c:pt>
                <c:pt idx="7">
                  <c:v>29.4</c:v>
                </c:pt>
                <c:pt idx="8">
                  <c:v>43.1</c:v>
                </c:pt>
                <c:pt idx="9">
                  <c:v>63.2</c:v>
                </c:pt>
                <c:pt idx="10">
                  <c:v>92.8</c:v>
                </c:pt>
                <c:pt idx="11">
                  <c:v>136</c:v>
                </c:pt>
                <c:pt idx="12">
                  <c:v>200</c:v>
                </c:pt>
              </c:numCache>
            </c:numRef>
          </c:xVal>
          <c:yVal>
            <c:numRef>
              <c:f>'PS16 in 500ppmPS7'!$B$9:$B$25</c:f>
              <c:numCache>
                <c:formatCode>General</c:formatCode>
                <c:ptCount val="17"/>
                <c:pt idx="0">
                  <c:v>6.225E-2</c:v>
                </c:pt>
                <c:pt idx="1">
                  <c:v>6.225E-2</c:v>
                </c:pt>
                <c:pt idx="2">
                  <c:v>6.2100000000000002E-2</c:v>
                </c:pt>
                <c:pt idx="3">
                  <c:v>6.1899999999999997E-2</c:v>
                </c:pt>
                <c:pt idx="4">
                  <c:v>6.2950000000000006E-2</c:v>
                </c:pt>
                <c:pt idx="5">
                  <c:v>6.1949999999999998E-2</c:v>
                </c:pt>
                <c:pt idx="6">
                  <c:v>6.2E-2</c:v>
                </c:pt>
                <c:pt idx="7">
                  <c:v>6.1899999999999997E-2</c:v>
                </c:pt>
                <c:pt idx="8">
                  <c:v>6.1800000000000001E-2</c:v>
                </c:pt>
                <c:pt idx="9">
                  <c:v>6.1649999999999996E-2</c:v>
                </c:pt>
                <c:pt idx="10">
                  <c:v>6.1499999999999999E-2</c:v>
                </c:pt>
                <c:pt idx="11">
                  <c:v>6.1400000000000003E-2</c:v>
                </c:pt>
                <c:pt idx="12">
                  <c:v>6.13E-2</c:v>
                </c:pt>
                <c:pt idx="13">
                  <c:v>6.1919230769230775E-2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776-4748-8C75-F9025FEFC945}"/>
            </c:ext>
          </c:extLst>
        </c:ser>
        <c:ser>
          <c:idx val="1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'PS16 in 500ppmPS7'!$A$9:$A$25</c:f>
              <c:numCache>
                <c:formatCode>General</c:formatCode>
                <c:ptCount val="17"/>
                <c:pt idx="0">
                  <c:v>2</c:v>
                </c:pt>
                <c:pt idx="1">
                  <c:v>2.94</c:v>
                </c:pt>
                <c:pt idx="2">
                  <c:v>4.3099999999999996</c:v>
                </c:pt>
                <c:pt idx="3">
                  <c:v>6.32</c:v>
                </c:pt>
                <c:pt idx="4">
                  <c:v>9.2799999999999994</c:v>
                </c:pt>
                <c:pt idx="5">
                  <c:v>13.6</c:v>
                </c:pt>
                <c:pt idx="6">
                  <c:v>20</c:v>
                </c:pt>
                <c:pt idx="7">
                  <c:v>29.4</c:v>
                </c:pt>
                <c:pt idx="8">
                  <c:v>43.1</c:v>
                </c:pt>
                <c:pt idx="9">
                  <c:v>63.2</c:v>
                </c:pt>
                <c:pt idx="10">
                  <c:v>92.8</c:v>
                </c:pt>
                <c:pt idx="11">
                  <c:v>136</c:v>
                </c:pt>
                <c:pt idx="12">
                  <c:v>200</c:v>
                </c:pt>
              </c:numCache>
            </c:numRef>
          </c:xVal>
          <c:yVal>
            <c:numRef>
              <c:f>'PS16 in 500ppmPS7'!$C$9:$C$25</c:f>
              <c:numCache>
                <c:formatCode>General</c:formatCode>
                <c:ptCount val="17"/>
                <c:pt idx="0">
                  <c:v>6.225E-2</c:v>
                </c:pt>
                <c:pt idx="1">
                  <c:v>6.2100000000000002E-2</c:v>
                </c:pt>
                <c:pt idx="2">
                  <c:v>6.2E-2</c:v>
                </c:pt>
                <c:pt idx="3">
                  <c:v>6.2E-2</c:v>
                </c:pt>
                <c:pt idx="4">
                  <c:v>6.1949999999999998E-2</c:v>
                </c:pt>
                <c:pt idx="5">
                  <c:v>6.1899999999999997E-2</c:v>
                </c:pt>
                <c:pt idx="6">
                  <c:v>6.1850000000000002E-2</c:v>
                </c:pt>
                <c:pt idx="7">
                  <c:v>6.1800000000000001E-2</c:v>
                </c:pt>
                <c:pt idx="8">
                  <c:v>6.1749999999999999E-2</c:v>
                </c:pt>
                <c:pt idx="9">
                  <c:v>6.1550000000000001E-2</c:v>
                </c:pt>
                <c:pt idx="10">
                  <c:v>6.1450000000000005E-2</c:v>
                </c:pt>
                <c:pt idx="11">
                  <c:v>6.1350000000000002E-2</c:v>
                </c:pt>
                <c:pt idx="12">
                  <c:v>6.1199999999999997E-2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776-4748-8C75-F9025FEFC945}"/>
            </c:ext>
          </c:extLst>
        </c:ser>
        <c:ser>
          <c:idx val="2"/>
          <c:order val="2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'PS16 in 500ppmPS7'!$A$9:$A$25</c:f>
              <c:numCache>
                <c:formatCode>General</c:formatCode>
                <c:ptCount val="17"/>
                <c:pt idx="0">
                  <c:v>2</c:v>
                </c:pt>
                <c:pt idx="1">
                  <c:v>2.94</c:v>
                </c:pt>
                <c:pt idx="2">
                  <c:v>4.3099999999999996</c:v>
                </c:pt>
                <c:pt idx="3">
                  <c:v>6.32</c:v>
                </c:pt>
                <c:pt idx="4">
                  <c:v>9.2799999999999994</c:v>
                </c:pt>
                <c:pt idx="5">
                  <c:v>13.6</c:v>
                </c:pt>
                <c:pt idx="6">
                  <c:v>20</c:v>
                </c:pt>
                <c:pt idx="7">
                  <c:v>29.4</c:v>
                </c:pt>
                <c:pt idx="8">
                  <c:v>43.1</c:v>
                </c:pt>
                <c:pt idx="9">
                  <c:v>63.2</c:v>
                </c:pt>
                <c:pt idx="10">
                  <c:v>92.8</c:v>
                </c:pt>
                <c:pt idx="11">
                  <c:v>136</c:v>
                </c:pt>
                <c:pt idx="12">
                  <c:v>200</c:v>
                </c:pt>
              </c:numCache>
            </c:numRef>
          </c:xVal>
          <c:yVal>
            <c:numRef>
              <c:f>'PS16 in 500ppmPS7'!$D$9:$D$25</c:f>
              <c:numCache>
                <c:formatCode>General</c:formatCode>
                <c:ptCount val="17"/>
                <c:pt idx="0">
                  <c:v>6.3100000000000003E-2</c:v>
                </c:pt>
                <c:pt idx="1">
                  <c:v>6.275E-2</c:v>
                </c:pt>
                <c:pt idx="2">
                  <c:v>6.2399999999999997E-2</c:v>
                </c:pt>
                <c:pt idx="3">
                  <c:v>6.2649999999999997E-2</c:v>
                </c:pt>
                <c:pt idx="4">
                  <c:v>6.2899999999999998E-2</c:v>
                </c:pt>
                <c:pt idx="5">
                  <c:v>6.2599999999999989E-2</c:v>
                </c:pt>
                <c:pt idx="6">
                  <c:v>6.2350000000000003E-2</c:v>
                </c:pt>
                <c:pt idx="7">
                  <c:v>6.2299999999999994E-2</c:v>
                </c:pt>
                <c:pt idx="8">
                  <c:v>6.2299999999999994E-2</c:v>
                </c:pt>
                <c:pt idx="9">
                  <c:v>6.2E-2</c:v>
                </c:pt>
                <c:pt idx="10">
                  <c:v>6.2149999999999997E-2</c:v>
                </c:pt>
                <c:pt idx="11">
                  <c:v>6.1799999999999994E-2</c:v>
                </c:pt>
                <c:pt idx="12">
                  <c:v>6.1600000000000002E-2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776-4748-8C75-F9025FEFC945}"/>
            </c:ext>
          </c:extLst>
        </c:ser>
        <c:ser>
          <c:idx val="3"/>
          <c:order val="3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'PS16 in 500ppmPS7'!$A$9:$A$25</c:f>
              <c:numCache>
                <c:formatCode>General</c:formatCode>
                <c:ptCount val="17"/>
                <c:pt idx="0">
                  <c:v>2</c:v>
                </c:pt>
                <c:pt idx="1">
                  <c:v>2.94</c:v>
                </c:pt>
                <c:pt idx="2">
                  <c:v>4.3099999999999996</c:v>
                </c:pt>
                <c:pt idx="3">
                  <c:v>6.32</c:v>
                </c:pt>
                <c:pt idx="4">
                  <c:v>9.2799999999999994</c:v>
                </c:pt>
                <c:pt idx="5">
                  <c:v>13.6</c:v>
                </c:pt>
                <c:pt idx="6">
                  <c:v>20</c:v>
                </c:pt>
                <c:pt idx="7">
                  <c:v>29.4</c:v>
                </c:pt>
                <c:pt idx="8">
                  <c:v>43.1</c:v>
                </c:pt>
                <c:pt idx="9">
                  <c:v>63.2</c:v>
                </c:pt>
                <c:pt idx="10">
                  <c:v>92.8</c:v>
                </c:pt>
                <c:pt idx="11">
                  <c:v>136</c:v>
                </c:pt>
                <c:pt idx="12">
                  <c:v>200</c:v>
                </c:pt>
              </c:numCache>
            </c:numRef>
          </c:xVal>
          <c:yVal>
            <c:numRef>
              <c:f>'PS16 in 500ppmPS7'!$E$9:$E$25</c:f>
              <c:numCache>
                <c:formatCode>General</c:formatCode>
                <c:ptCount val="17"/>
                <c:pt idx="0">
                  <c:v>6.2399999999999997E-2</c:v>
                </c:pt>
                <c:pt idx="1">
                  <c:v>6.2199999999999998E-2</c:v>
                </c:pt>
                <c:pt idx="2">
                  <c:v>6.2849999999999989E-2</c:v>
                </c:pt>
                <c:pt idx="3">
                  <c:v>6.225E-2</c:v>
                </c:pt>
                <c:pt idx="4">
                  <c:v>6.2E-2</c:v>
                </c:pt>
                <c:pt idx="5">
                  <c:v>6.2100000000000002E-2</c:v>
                </c:pt>
                <c:pt idx="6">
                  <c:v>6.1850000000000002E-2</c:v>
                </c:pt>
                <c:pt idx="7">
                  <c:v>6.1850000000000002E-2</c:v>
                </c:pt>
                <c:pt idx="8">
                  <c:v>6.1699999999999998E-2</c:v>
                </c:pt>
                <c:pt idx="9">
                  <c:v>6.1450000000000005E-2</c:v>
                </c:pt>
                <c:pt idx="10">
                  <c:v>6.1249999999999999E-2</c:v>
                </c:pt>
                <c:pt idx="11">
                  <c:v>6.1149999999999996E-2</c:v>
                </c:pt>
                <c:pt idx="12">
                  <c:v>6.1100000000000002E-2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776-4748-8C75-F9025FEFC945}"/>
            </c:ext>
          </c:extLst>
        </c:ser>
        <c:ser>
          <c:idx val="4"/>
          <c:order val="4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'PS16 in 500ppmPS7'!$A$9:$A$25</c:f>
              <c:numCache>
                <c:formatCode>General</c:formatCode>
                <c:ptCount val="17"/>
                <c:pt idx="0">
                  <c:v>2</c:v>
                </c:pt>
                <c:pt idx="1">
                  <c:v>2.94</c:v>
                </c:pt>
                <c:pt idx="2">
                  <c:v>4.3099999999999996</c:v>
                </c:pt>
                <c:pt idx="3">
                  <c:v>6.32</c:v>
                </c:pt>
                <c:pt idx="4">
                  <c:v>9.2799999999999994</c:v>
                </c:pt>
                <c:pt idx="5">
                  <c:v>13.6</c:v>
                </c:pt>
                <c:pt idx="6">
                  <c:v>20</c:v>
                </c:pt>
                <c:pt idx="7">
                  <c:v>29.4</c:v>
                </c:pt>
                <c:pt idx="8">
                  <c:v>43.1</c:v>
                </c:pt>
                <c:pt idx="9">
                  <c:v>63.2</c:v>
                </c:pt>
                <c:pt idx="10">
                  <c:v>92.8</c:v>
                </c:pt>
                <c:pt idx="11">
                  <c:v>136</c:v>
                </c:pt>
                <c:pt idx="12">
                  <c:v>200</c:v>
                </c:pt>
              </c:numCache>
            </c:numRef>
          </c:xVal>
          <c:yVal>
            <c:numRef>
              <c:f>'PS16 in 500ppmPS7'!$F$9:$F$25</c:f>
              <c:numCache>
                <c:formatCode>General</c:formatCode>
                <c:ptCount val="17"/>
                <c:pt idx="0">
                  <c:v>6.3099999999999989E-2</c:v>
                </c:pt>
                <c:pt idx="1">
                  <c:v>6.3149999999999998E-2</c:v>
                </c:pt>
                <c:pt idx="2">
                  <c:v>6.3150000000000012E-2</c:v>
                </c:pt>
                <c:pt idx="3">
                  <c:v>6.3150000000000012E-2</c:v>
                </c:pt>
                <c:pt idx="4">
                  <c:v>6.3149999999999998E-2</c:v>
                </c:pt>
                <c:pt idx="5">
                  <c:v>6.3200000000000006E-2</c:v>
                </c:pt>
                <c:pt idx="6">
                  <c:v>6.3200000000000006E-2</c:v>
                </c:pt>
                <c:pt idx="7">
                  <c:v>6.3049999999999995E-2</c:v>
                </c:pt>
                <c:pt idx="8">
                  <c:v>6.25E-2</c:v>
                </c:pt>
                <c:pt idx="9">
                  <c:v>6.2450000000000006E-2</c:v>
                </c:pt>
                <c:pt idx="10">
                  <c:v>6.2E-2</c:v>
                </c:pt>
                <c:pt idx="11">
                  <c:v>6.1899999999999997E-2</c:v>
                </c:pt>
                <c:pt idx="12">
                  <c:v>6.1800000000000001E-2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776-4748-8C75-F9025FEFC945}"/>
            </c:ext>
          </c:extLst>
        </c:ser>
        <c:ser>
          <c:idx val="5"/>
          <c:order val="5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'PS16 in 500ppmPS7'!$A$9:$A$25</c:f>
              <c:numCache>
                <c:formatCode>General</c:formatCode>
                <c:ptCount val="17"/>
                <c:pt idx="0">
                  <c:v>2</c:v>
                </c:pt>
                <c:pt idx="1">
                  <c:v>2.94</c:v>
                </c:pt>
                <c:pt idx="2">
                  <c:v>4.3099999999999996</c:v>
                </c:pt>
                <c:pt idx="3">
                  <c:v>6.32</c:v>
                </c:pt>
                <c:pt idx="4">
                  <c:v>9.2799999999999994</c:v>
                </c:pt>
                <c:pt idx="5">
                  <c:v>13.6</c:v>
                </c:pt>
                <c:pt idx="6">
                  <c:v>20</c:v>
                </c:pt>
                <c:pt idx="7">
                  <c:v>29.4</c:v>
                </c:pt>
                <c:pt idx="8">
                  <c:v>43.1</c:v>
                </c:pt>
                <c:pt idx="9">
                  <c:v>63.2</c:v>
                </c:pt>
                <c:pt idx="10">
                  <c:v>92.8</c:v>
                </c:pt>
                <c:pt idx="11">
                  <c:v>136</c:v>
                </c:pt>
                <c:pt idx="12">
                  <c:v>200</c:v>
                </c:pt>
              </c:numCache>
            </c:numRef>
          </c:xVal>
          <c:yVal>
            <c:numRef>
              <c:f>'PS16 in 500ppmPS7'!$G$9:$G$25</c:f>
              <c:numCache>
                <c:formatCode>General</c:formatCode>
                <c:ptCount val="17"/>
                <c:pt idx="0">
                  <c:v>6.3250000000000001E-2</c:v>
                </c:pt>
                <c:pt idx="1">
                  <c:v>6.3299999999999995E-2</c:v>
                </c:pt>
                <c:pt idx="2">
                  <c:v>6.3200000000000006E-2</c:v>
                </c:pt>
                <c:pt idx="3">
                  <c:v>6.3200000000000006E-2</c:v>
                </c:pt>
                <c:pt idx="4">
                  <c:v>6.3299999999999995E-2</c:v>
                </c:pt>
                <c:pt idx="5">
                  <c:v>6.3150000000000012E-2</c:v>
                </c:pt>
                <c:pt idx="6">
                  <c:v>6.3100000000000003E-2</c:v>
                </c:pt>
                <c:pt idx="7">
                  <c:v>6.3E-2</c:v>
                </c:pt>
                <c:pt idx="8">
                  <c:v>6.2899999999999998E-2</c:v>
                </c:pt>
                <c:pt idx="9">
                  <c:v>6.2799999999999995E-2</c:v>
                </c:pt>
                <c:pt idx="10">
                  <c:v>6.2600000000000003E-2</c:v>
                </c:pt>
                <c:pt idx="11">
                  <c:v>6.25E-2</c:v>
                </c:pt>
                <c:pt idx="12">
                  <c:v>6.25E-2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776-4748-8C75-F9025FEFC945}"/>
            </c:ext>
          </c:extLst>
        </c:ser>
        <c:ser>
          <c:idx val="6"/>
          <c:order val="6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'PS16 in 500ppmPS7'!$A$9:$A$25</c:f>
              <c:numCache>
                <c:formatCode>General</c:formatCode>
                <c:ptCount val="17"/>
                <c:pt idx="0">
                  <c:v>2</c:v>
                </c:pt>
                <c:pt idx="1">
                  <c:v>2.94</c:v>
                </c:pt>
                <c:pt idx="2">
                  <c:v>4.3099999999999996</c:v>
                </c:pt>
                <c:pt idx="3">
                  <c:v>6.32</c:v>
                </c:pt>
                <c:pt idx="4">
                  <c:v>9.2799999999999994</c:v>
                </c:pt>
                <c:pt idx="5">
                  <c:v>13.6</c:v>
                </c:pt>
                <c:pt idx="6">
                  <c:v>20</c:v>
                </c:pt>
                <c:pt idx="7">
                  <c:v>29.4</c:v>
                </c:pt>
                <c:pt idx="8">
                  <c:v>43.1</c:v>
                </c:pt>
                <c:pt idx="9">
                  <c:v>63.2</c:v>
                </c:pt>
                <c:pt idx="10">
                  <c:v>92.8</c:v>
                </c:pt>
                <c:pt idx="11">
                  <c:v>136</c:v>
                </c:pt>
                <c:pt idx="12">
                  <c:v>200</c:v>
                </c:pt>
              </c:numCache>
            </c:numRef>
          </c:xVal>
          <c:yVal>
            <c:numRef>
              <c:f>'PS16 in 500ppmPS7'!$H$9:$H$25</c:f>
              <c:numCache>
                <c:formatCode>General</c:formatCode>
                <c:ptCount val="17"/>
                <c:pt idx="0">
                  <c:v>6.4899999999999999E-2</c:v>
                </c:pt>
                <c:pt idx="1">
                  <c:v>6.515E-2</c:v>
                </c:pt>
                <c:pt idx="2">
                  <c:v>6.515E-2</c:v>
                </c:pt>
                <c:pt idx="3">
                  <c:v>6.5099999999999991E-2</c:v>
                </c:pt>
                <c:pt idx="4">
                  <c:v>6.4950000000000008E-2</c:v>
                </c:pt>
                <c:pt idx="5">
                  <c:v>6.4799999999999996E-2</c:v>
                </c:pt>
                <c:pt idx="6">
                  <c:v>6.4700000000000008E-2</c:v>
                </c:pt>
                <c:pt idx="7">
                  <c:v>6.4549999999999996E-2</c:v>
                </c:pt>
                <c:pt idx="8">
                  <c:v>6.4399999999999999E-2</c:v>
                </c:pt>
                <c:pt idx="9">
                  <c:v>6.4200000000000007E-2</c:v>
                </c:pt>
                <c:pt idx="10">
                  <c:v>6.4049999999999996E-2</c:v>
                </c:pt>
                <c:pt idx="11">
                  <c:v>6.3950000000000007E-2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776-4748-8C75-F9025FEFC9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9785391"/>
        <c:axId val="959749247"/>
      </c:scatterChart>
      <c:valAx>
        <c:axId val="959785391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9749247"/>
        <c:crosses val="autoZero"/>
        <c:crossBetween val="midCat"/>
      </c:valAx>
      <c:valAx>
        <c:axId val="959749247"/>
        <c:scaling>
          <c:logBase val="10"/>
          <c:orientation val="minMax"/>
          <c:max val="0.1"/>
          <c:min val="5.000000000000001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97853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'PS16 in 1000ppmPS7'!$A$9:$A$25</c:f>
              <c:numCache>
                <c:formatCode>General</c:formatCode>
                <c:ptCount val="17"/>
                <c:pt idx="0">
                  <c:v>2</c:v>
                </c:pt>
                <c:pt idx="1">
                  <c:v>2.94</c:v>
                </c:pt>
                <c:pt idx="2">
                  <c:v>4.3099999999999996</c:v>
                </c:pt>
                <c:pt idx="3">
                  <c:v>6.32</c:v>
                </c:pt>
                <c:pt idx="4">
                  <c:v>9.2799999999999994</c:v>
                </c:pt>
                <c:pt idx="5">
                  <c:v>13.6</c:v>
                </c:pt>
                <c:pt idx="6">
                  <c:v>20</c:v>
                </c:pt>
                <c:pt idx="7">
                  <c:v>29.4</c:v>
                </c:pt>
                <c:pt idx="8">
                  <c:v>43.1</c:v>
                </c:pt>
                <c:pt idx="9">
                  <c:v>63.2</c:v>
                </c:pt>
                <c:pt idx="10">
                  <c:v>92.8</c:v>
                </c:pt>
                <c:pt idx="11">
                  <c:v>136</c:v>
                </c:pt>
                <c:pt idx="12">
                  <c:v>200</c:v>
                </c:pt>
              </c:numCache>
            </c:numRef>
          </c:xVal>
          <c:yVal>
            <c:numRef>
              <c:f>'PS16 in 1000ppmPS7'!$B$9:$B$25</c:f>
              <c:numCache>
                <c:formatCode>General</c:formatCode>
                <c:ptCount val="17"/>
                <c:pt idx="0">
                  <c:v>6.8949999999999997E-2</c:v>
                </c:pt>
                <c:pt idx="1">
                  <c:v>6.905E-2</c:v>
                </c:pt>
                <c:pt idx="2">
                  <c:v>6.905E-2</c:v>
                </c:pt>
                <c:pt idx="3">
                  <c:v>6.9000000000000006E-2</c:v>
                </c:pt>
                <c:pt idx="4">
                  <c:v>6.8950000000000011E-2</c:v>
                </c:pt>
                <c:pt idx="5">
                  <c:v>6.9250000000000006E-2</c:v>
                </c:pt>
                <c:pt idx="6">
                  <c:v>6.88E-2</c:v>
                </c:pt>
                <c:pt idx="7">
                  <c:v>6.8699999999999997E-2</c:v>
                </c:pt>
                <c:pt idx="8">
                  <c:v>6.8400000000000002E-2</c:v>
                </c:pt>
                <c:pt idx="9">
                  <c:v>6.8199999999999997E-2</c:v>
                </c:pt>
                <c:pt idx="10">
                  <c:v>6.7900000000000002E-2</c:v>
                </c:pt>
                <c:pt idx="11">
                  <c:v>6.7649999999999988E-2</c:v>
                </c:pt>
                <c:pt idx="12">
                  <c:v>6.7549999999999999E-2</c:v>
                </c:pt>
                <c:pt idx="13">
                  <c:v>6.8573076923076917E-2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423-4828-80C9-1CB3DF834E2B}"/>
            </c:ext>
          </c:extLst>
        </c:ser>
        <c:ser>
          <c:idx val="1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'PS16 in 1000ppmPS7'!$A$9:$A$25</c:f>
              <c:numCache>
                <c:formatCode>General</c:formatCode>
                <c:ptCount val="17"/>
                <c:pt idx="0">
                  <c:v>2</c:v>
                </c:pt>
                <c:pt idx="1">
                  <c:v>2.94</c:v>
                </c:pt>
                <c:pt idx="2">
                  <c:v>4.3099999999999996</c:v>
                </c:pt>
                <c:pt idx="3">
                  <c:v>6.32</c:v>
                </c:pt>
                <c:pt idx="4">
                  <c:v>9.2799999999999994</c:v>
                </c:pt>
                <c:pt idx="5">
                  <c:v>13.6</c:v>
                </c:pt>
                <c:pt idx="6">
                  <c:v>20</c:v>
                </c:pt>
                <c:pt idx="7">
                  <c:v>29.4</c:v>
                </c:pt>
                <c:pt idx="8">
                  <c:v>43.1</c:v>
                </c:pt>
                <c:pt idx="9">
                  <c:v>63.2</c:v>
                </c:pt>
                <c:pt idx="10">
                  <c:v>92.8</c:v>
                </c:pt>
                <c:pt idx="11">
                  <c:v>136</c:v>
                </c:pt>
                <c:pt idx="12">
                  <c:v>200</c:v>
                </c:pt>
              </c:numCache>
            </c:numRef>
          </c:xVal>
          <c:yVal>
            <c:numRef>
              <c:f>'PS16 in 1000ppmPS7'!$C$9:$C$25</c:f>
              <c:numCache>
                <c:formatCode>General</c:formatCode>
                <c:ptCount val="17"/>
                <c:pt idx="0">
                  <c:v>6.9599999999999995E-2</c:v>
                </c:pt>
                <c:pt idx="1">
                  <c:v>6.9599999999999995E-2</c:v>
                </c:pt>
                <c:pt idx="2">
                  <c:v>6.9150000000000003E-2</c:v>
                </c:pt>
                <c:pt idx="3">
                  <c:v>6.8949999999999997E-2</c:v>
                </c:pt>
                <c:pt idx="4">
                  <c:v>6.9199999999999998E-2</c:v>
                </c:pt>
                <c:pt idx="5">
                  <c:v>6.8700000000000011E-2</c:v>
                </c:pt>
                <c:pt idx="6">
                  <c:v>6.8750000000000006E-2</c:v>
                </c:pt>
                <c:pt idx="7">
                  <c:v>6.8399999999999989E-2</c:v>
                </c:pt>
                <c:pt idx="8">
                  <c:v>6.8099999999999994E-2</c:v>
                </c:pt>
                <c:pt idx="9">
                  <c:v>6.7699999999999996E-2</c:v>
                </c:pt>
                <c:pt idx="10">
                  <c:v>6.7599999999999993E-2</c:v>
                </c:pt>
                <c:pt idx="11">
                  <c:v>6.7199999999999996E-2</c:v>
                </c:pt>
                <c:pt idx="12">
                  <c:v>6.7100000000000007E-2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423-4828-80C9-1CB3DF834E2B}"/>
            </c:ext>
          </c:extLst>
        </c:ser>
        <c:ser>
          <c:idx val="2"/>
          <c:order val="2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'PS16 in 1000ppmPS7'!$A$9:$A$25</c:f>
              <c:numCache>
                <c:formatCode>General</c:formatCode>
                <c:ptCount val="17"/>
                <c:pt idx="0">
                  <c:v>2</c:v>
                </c:pt>
                <c:pt idx="1">
                  <c:v>2.94</c:v>
                </c:pt>
                <c:pt idx="2">
                  <c:v>4.3099999999999996</c:v>
                </c:pt>
                <c:pt idx="3">
                  <c:v>6.32</c:v>
                </c:pt>
                <c:pt idx="4">
                  <c:v>9.2799999999999994</c:v>
                </c:pt>
                <c:pt idx="5">
                  <c:v>13.6</c:v>
                </c:pt>
                <c:pt idx="6">
                  <c:v>20</c:v>
                </c:pt>
                <c:pt idx="7">
                  <c:v>29.4</c:v>
                </c:pt>
                <c:pt idx="8">
                  <c:v>43.1</c:v>
                </c:pt>
                <c:pt idx="9">
                  <c:v>63.2</c:v>
                </c:pt>
                <c:pt idx="10">
                  <c:v>92.8</c:v>
                </c:pt>
                <c:pt idx="11">
                  <c:v>136</c:v>
                </c:pt>
                <c:pt idx="12">
                  <c:v>200</c:v>
                </c:pt>
              </c:numCache>
            </c:numRef>
          </c:xVal>
          <c:yVal>
            <c:numRef>
              <c:f>'PS16 in 1000ppmPS7'!$D$9:$D$25</c:f>
              <c:numCache>
                <c:formatCode>General</c:formatCode>
                <c:ptCount val="17"/>
                <c:pt idx="0">
                  <c:v>7.0650000000000004E-2</c:v>
                </c:pt>
                <c:pt idx="1">
                  <c:v>6.8949999999999997E-2</c:v>
                </c:pt>
                <c:pt idx="2">
                  <c:v>6.905E-2</c:v>
                </c:pt>
                <c:pt idx="3">
                  <c:v>6.8849999999999995E-2</c:v>
                </c:pt>
                <c:pt idx="4">
                  <c:v>6.9199999999999998E-2</c:v>
                </c:pt>
                <c:pt idx="5">
                  <c:v>6.8399999999999989E-2</c:v>
                </c:pt>
                <c:pt idx="6">
                  <c:v>6.83E-2</c:v>
                </c:pt>
                <c:pt idx="7">
                  <c:v>6.8049999999999999E-2</c:v>
                </c:pt>
                <c:pt idx="8">
                  <c:v>6.7849999999999994E-2</c:v>
                </c:pt>
                <c:pt idx="9">
                  <c:v>6.7599999999999993E-2</c:v>
                </c:pt>
                <c:pt idx="10">
                  <c:v>6.7299999999999999E-2</c:v>
                </c:pt>
                <c:pt idx="11">
                  <c:v>6.7100000000000007E-2</c:v>
                </c:pt>
                <c:pt idx="12">
                  <c:v>6.7000000000000004E-2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423-4828-80C9-1CB3DF834E2B}"/>
            </c:ext>
          </c:extLst>
        </c:ser>
        <c:ser>
          <c:idx val="3"/>
          <c:order val="3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'PS16 in 1000ppmPS7'!$A$9:$A$25</c:f>
              <c:numCache>
                <c:formatCode>General</c:formatCode>
                <c:ptCount val="17"/>
                <c:pt idx="0">
                  <c:v>2</c:v>
                </c:pt>
                <c:pt idx="1">
                  <c:v>2.94</c:v>
                </c:pt>
                <c:pt idx="2">
                  <c:v>4.3099999999999996</c:v>
                </c:pt>
                <c:pt idx="3">
                  <c:v>6.32</c:v>
                </c:pt>
                <c:pt idx="4">
                  <c:v>9.2799999999999994</c:v>
                </c:pt>
                <c:pt idx="5">
                  <c:v>13.6</c:v>
                </c:pt>
                <c:pt idx="6">
                  <c:v>20</c:v>
                </c:pt>
                <c:pt idx="7">
                  <c:v>29.4</c:v>
                </c:pt>
                <c:pt idx="8">
                  <c:v>43.1</c:v>
                </c:pt>
                <c:pt idx="9">
                  <c:v>63.2</c:v>
                </c:pt>
                <c:pt idx="10">
                  <c:v>92.8</c:v>
                </c:pt>
                <c:pt idx="11">
                  <c:v>136</c:v>
                </c:pt>
                <c:pt idx="12">
                  <c:v>200</c:v>
                </c:pt>
              </c:numCache>
            </c:numRef>
          </c:xVal>
          <c:yVal>
            <c:numRef>
              <c:f>'PS16 in 1000ppmPS7'!$E$9:$E$25</c:f>
              <c:numCache>
                <c:formatCode>General</c:formatCode>
                <c:ptCount val="17"/>
                <c:pt idx="0">
                  <c:v>6.8700000000000011E-2</c:v>
                </c:pt>
                <c:pt idx="1">
                  <c:v>6.855E-2</c:v>
                </c:pt>
                <c:pt idx="2">
                  <c:v>6.8349999999999994E-2</c:v>
                </c:pt>
                <c:pt idx="3">
                  <c:v>6.8399999999999989E-2</c:v>
                </c:pt>
                <c:pt idx="4">
                  <c:v>6.83E-2</c:v>
                </c:pt>
                <c:pt idx="5">
                  <c:v>6.8199999999999997E-2</c:v>
                </c:pt>
                <c:pt idx="6">
                  <c:v>6.8049999999999999E-2</c:v>
                </c:pt>
                <c:pt idx="7">
                  <c:v>6.795000000000001E-2</c:v>
                </c:pt>
                <c:pt idx="8">
                  <c:v>6.7750000000000005E-2</c:v>
                </c:pt>
                <c:pt idx="9">
                  <c:v>6.7500000000000004E-2</c:v>
                </c:pt>
                <c:pt idx="10">
                  <c:v>6.7199999999999996E-2</c:v>
                </c:pt>
                <c:pt idx="11">
                  <c:v>6.7000000000000004E-2</c:v>
                </c:pt>
                <c:pt idx="12">
                  <c:v>6.6900000000000001E-2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423-4828-80C9-1CB3DF834E2B}"/>
            </c:ext>
          </c:extLst>
        </c:ser>
        <c:ser>
          <c:idx val="4"/>
          <c:order val="4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'PS16 in 1000ppmPS7'!$A$9:$A$25</c:f>
              <c:numCache>
                <c:formatCode>General</c:formatCode>
                <c:ptCount val="17"/>
                <c:pt idx="0">
                  <c:v>2</c:v>
                </c:pt>
                <c:pt idx="1">
                  <c:v>2.94</c:v>
                </c:pt>
                <c:pt idx="2">
                  <c:v>4.3099999999999996</c:v>
                </c:pt>
                <c:pt idx="3">
                  <c:v>6.32</c:v>
                </c:pt>
                <c:pt idx="4">
                  <c:v>9.2799999999999994</c:v>
                </c:pt>
                <c:pt idx="5">
                  <c:v>13.6</c:v>
                </c:pt>
                <c:pt idx="6">
                  <c:v>20</c:v>
                </c:pt>
                <c:pt idx="7">
                  <c:v>29.4</c:v>
                </c:pt>
                <c:pt idx="8">
                  <c:v>43.1</c:v>
                </c:pt>
                <c:pt idx="9">
                  <c:v>63.2</c:v>
                </c:pt>
                <c:pt idx="10">
                  <c:v>92.8</c:v>
                </c:pt>
                <c:pt idx="11">
                  <c:v>136</c:v>
                </c:pt>
                <c:pt idx="12">
                  <c:v>200</c:v>
                </c:pt>
              </c:numCache>
            </c:numRef>
          </c:xVal>
          <c:yVal>
            <c:numRef>
              <c:f>'PS16 in 1000ppmPS7'!$F$9:$F$25</c:f>
              <c:numCache>
                <c:formatCode>General</c:formatCode>
                <c:ptCount val="17"/>
                <c:pt idx="0">
                  <c:v>6.93E-2</c:v>
                </c:pt>
                <c:pt idx="1">
                  <c:v>6.8950000000000011E-2</c:v>
                </c:pt>
                <c:pt idx="2">
                  <c:v>6.8950000000000011E-2</c:v>
                </c:pt>
                <c:pt idx="3">
                  <c:v>6.9099999999999995E-2</c:v>
                </c:pt>
                <c:pt idx="4">
                  <c:v>6.9000000000000006E-2</c:v>
                </c:pt>
                <c:pt idx="5">
                  <c:v>6.8849999999999995E-2</c:v>
                </c:pt>
                <c:pt idx="6">
                  <c:v>6.8750000000000006E-2</c:v>
                </c:pt>
                <c:pt idx="7">
                  <c:v>6.855E-2</c:v>
                </c:pt>
                <c:pt idx="8">
                  <c:v>6.8349999999999994E-2</c:v>
                </c:pt>
                <c:pt idx="9">
                  <c:v>6.8049999999999999E-2</c:v>
                </c:pt>
                <c:pt idx="10">
                  <c:v>6.7750000000000005E-2</c:v>
                </c:pt>
                <c:pt idx="11">
                  <c:v>6.7549999999999999E-2</c:v>
                </c:pt>
                <c:pt idx="12">
                  <c:v>6.7500000000000004E-2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423-4828-80C9-1CB3DF834E2B}"/>
            </c:ext>
          </c:extLst>
        </c:ser>
        <c:ser>
          <c:idx val="5"/>
          <c:order val="5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'PS16 in 1000ppmPS7'!$A$9:$A$25</c:f>
              <c:numCache>
                <c:formatCode>General</c:formatCode>
                <c:ptCount val="17"/>
                <c:pt idx="0">
                  <c:v>2</c:v>
                </c:pt>
                <c:pt idx="1">
                  <c:v>2.94</c:v>
                </c:pt>
                <c:pt idx="2">
                  <c:v>4.3099999999999996</c:v>
                </c:pt>
                <c:pt idx="3">
                  <c:v>6.32</c:v>
                </c:pt>
                <c:pt idx="4">
                  <c:v>9.2799999999999994</c:v>
                </c:pt>
                <c:pt idx="5">
                  <c:v>13.6</c:v>
                </c:pt>
                <c:pt idx="6">
                  <c:v>20</c:v>
                </c:pt>
                <c:pt idx="7">
                  <c:v>29.4</c:v>
                </c:pt>
                <c:pt idx="8">
                  <c:v>43.1</c:v>
                </c:pt>
                <c:pt idx="9">
                  <c:v>63.2</c:v>
                </c:pt>
                <c:pt idx="10">
                  <c:v>92.8</c:v>
                </c:pt>
                <c:pt idx="11">
                  <c:v>136</c:v>
                </c:pt>
                <c:pt idx="12">
                  <c:v>200</c:v>
                </c:pt>
              </c:numCache>
            </c:numRef>
          </c:xVal>
          <c:yVal>
            <c:numRef>
              <c:f>'PS16 in 1000ppmPS7'!$G$9:$G$25</c:f>
              <c:numCache>
                <c:formatCode>General</c:formatCode>
                <c:ptCount val="17"/>
                <c:pt idx="0">
                  <c:v>6.989999999999999E-2</c:v>
                </c:pt>
                <c:pt idx="1">
                  <c:v>7.0300000000000001E-2</c:v>
                </c:pt>
                <c:pt idx="2">
                  <c:v>7.0000000000000007E-2</c:v>
                </c:pt>
                <c:pt idx="3">
                  <c:v>6.9849999999999995E-2</c:v>
                </c:pt>
                <c:pt idx="4">
                  <c:v>6.9849999999999995E-2</c:v>
                </c:pt>
                <c:pt idx="5">
                  <c:v>6.9750000000000006E-2</c:v>
                </c:pt>
                <c:pt idx="6">
                  <c:v>6.9750000000000006E-2</c:v>
                </c:pt>
                <c:pt idx="7">
                  <c:v>6.9450000000000012E-2</c:v>
                </c:pt>
                <c:pt idx="8">
                  <c:v>6.9149999999999989E-2</c:v>
                </c:pt>
                <c:pt idx="9">
                  <c:v>6.8849999999999995E-2</c:v>
                </c:pt>
                <c:pt idx="10">
                  <c:v>6.8599999999999994E-2</c:v>
                </c:pt>
                <c:pt idx="11">
                  <c:v>6.8400000000000002E-2</c:v>
                </c:pt>
                <c:pt idx="12">
                  <c:v>6.8349999999999994E-2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423-4828-80C9-1CB3DF834E2B}"/>
            </c:ext>
          </c:extLst>
        </c:ser>
        <c:ser>
          <c:idx val="6"/>
          <c:order val="6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'PS16 in 1000ppmPS7'!$A$9:$A$25</c:f>
              <c:numCache>
                <c:formatCode>General</c:formatCode>
                <c:ptCount val="17"/>
                <c:pt idx="0">
                  <c:v>2</c:v>
                </c:pt>
                <c:pt idx="1">
                  <c:v>2.94</c:v>
                </c:pt>
                <c:pt idx="2">
                  <c:v>4.3099999999999996</c:v>
                </c:pt>
                <c:pt idx="3">
                  <c:v>6.32</c:v>
                </c:pt>
                <c:pt idx="4">
                  <c:v>9.2799999999999994</c:v>
                </c:pt>
                <c:pt idx="5">
                  <c:v>13.6</c:v>
                </c:pt>
                <c:pt idx="6">
                  <c:v>20</c:v>
                </c:pt>
                <c:pt idx="7">
                  <c:v>29.4</c:v>
                </c:pt>
                <c:pt idx="8">
                  <c:v>43.1</c:v>
                </c:pt>
                <c:pt idx="9">
                  <c:v>63.2</c:v>
                </c:pt>
                <c:pt idx="10">
                  <c:v>92.8</c:v>
                </c:pt>
                <c:pt idx="11">
                  <c:v>136</c:v>
                </c:pt>
                <c:pt idx="12">
                  <c:v>200</c:v>
                </c:pt>
              </c:numCache>
            </c:numRef>
          </c:xVal>
          <c:yVal>
            <c:numRef>
              <c:f>'PS16 in 1000ppmPS7'!$H$9:$H$25</c:f>
              <c:numCache>
                <c:formatCode>General</c:formatCode>
                <c:ptCount val="17"/>
                <c:pt idx="0">
                  <c:v>7.2099999999999997E-2</c:v>
                </c:pt>
                <c:pt idx="1">
                  <c:v>7.2050000000000003E-2</c:v>
                </c:pt>
                <c:pt idx="2">
                  <c:v>7.1899999999999992E-2</c:v>
                </c:pt>
                <c:pt idx="3">
                  <c:v>7.1849999999999997E-2</c:v>
                </c:pt>
                <c:pt idx="4">
                  <c:v>7.1849999999999997E-2</c:v>
                </c:pt>
                <c:pt idx="5">
                  <c:v>7.1349999999999997E-2</c:v>
                </c:pt>
                <c:pt idx="6">
                  <c:v>7.1149999999999991E-2</c:v>
                </c:pt>
                <c:pt idx="7">
                  <c:v>7.0949999999999999E-2</c:v>
                </c:pt>
                <c:pt idx="8">
                  <c:v>7.0599999999999996E-2</c:v>
                </c:pt>
                <c:pt idx="9">
                  <c:v>7.0200000000000012E-2</c:v>
                </c:pt>
                <c:pt idx="10">
                  <c:v>6.9849999999999995E-2</c:v>
                </c:pt>
                <c:pt idx="11">
                  <c:v>6.9650000000000004E-2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F423-4828-80C9-1CB3DF834E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9785391"/>
        <c:axId val="959749247"/>
      </c:scatterChart>
      <c:valAx>
        <c:axId val="959785391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9749247"/>
        <c:crosses val="autoZero"/>
        <c:crossBetween val="midCat"/>
      </c:valAx>
      <c:valAx>
        <c:axId val="959749247"/>
        <c:scaling>
          <c:logBase val="10"/>
          <c:orientation val="minMax"/>
          <c:max val="0.1"/>
          <c:min val="5.000000000000001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97853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149224</xdr:colOff>
      <xdr:row>4</xdr:row>
      <xdr:rowOff>92074</xdr:rowOff>
    </xdr:from>
    <xdr:to>
      <xdr:col>17</xdr:col>
      <xdr:colOff>349249</xdr:colOff>
      <xdr:row>28</xdr:row>
      <xdr:rowOff>158749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190500</xdr:colOff>
      <xdr:row>12</xdr:row>
      <xdr:rowOff>80010</xdr:rowOff>
    </xdr:from>
    <xdr:to>
      <xdr:col>26</xdr:col>
      <xdr:colOff>495300</xdr:colOff>
      <xdr:row>27</xdr:row>
      <xdr:rowOff>80010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F1ACF75-5116-84C3-A838-A41C28407D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149224</xdr:colOff>
      <xdr:row>4</xdr:row>
      <xdr:rowOff>92074</xdr:rowOff>
    </xdr:from>
    <xdr:to>
      <xdr:col>17</xdr:col>
      <xdr:colOff>349249</xdr:colOff>
      <xdr:row>28</xdr:row>
      <xdr:rowOff>158749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149224</xdr:colOff>
      <xdr:row>4</xdr:row>
      <xdr:rowOff>92074</xdr:rowOff>
    </xdr:from>
    <xdr:to>
      <xdr:col>17</xdr:col>
      <xdr:colOff>349249</xdr:colOff>
      <xdr:row>28</xdr:row>
      <xdr:rowOff>158749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149224</xdr:colOff>
      <xdr:row>4</xdr:row>
      <xdr:rowOff>92074</xdr:rowOff>
    </xdr:from>
    <xdr:to>
      <xdr:col>17</xdr:col>
      <xdr:colOff>349249</xdr:colOff>
      <xdr:row>28</xdr:row>
      <xdr:rowOff>158749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9"/>
  <sheetViews>
    <sheetView tabSelected="1" topLeftCell="A4" workbookViewId="0">
      <selection activeCell="I9" sqref="I9"/>
    </sheetView>
  </sheetViews>
  <sheetFormatPr defaultRowHeight="15" x14ac:dyDescent="0.25"/>
  <sheetData>
    <row r="1" spans="1:8" x14ac:dyDescent="0.25">
      <c r="A1" t="s">
        <v>0</v>
      </c>
    </row>
    <row r="2" spans="1:8" x14ac:dyDescent="0.25">
      <c r="A2" t="s">
        <v>20</v>
      </c>
      <c r="B2" s="1">
        <v>16000000</v>
      </c>
    </row>
    <row r="4" spans="1:8" x14ac:dyDescent="0.25">
      <c r="B4" t="s">
        <v>4</v>
      </c>
      <c r="C4" t="s">
        <v>7</v>
      </c>
      <c r="D4" t="s">
        <v>8</v>
      </c>
      <c r="E4" t="s">
        <v>9</v>
      </c>
      <c r="F4" t="s">
        <v>10</v>
      </c>
      <c r="G4" t="s">
        <v>11</v>
      </c>
      <c r="H4" t="s">
        <v>12</v>
      </c>
    </row>
    <row r="5" spans="1:8" x14ac:dyDescent="0.25">
      <c r="B5" t="s">
        <v>5</v>
      </c>
      <c r="C5" t="s">
        <v>5</v>
      </c>
      <c r="D5" t="s">
        <v>5</v>
      </c>
      <c r="E5" t="s">
        <v>5</v>
      </c>
      <c r="F5" t="s">
        <v>5</v>
      </c>
      <c r="G5" t="s">
        <v>5</v>
      </c>
      <c r="H5" t="s">
        <v>5</v>
      </c>
    </row>
    <row r="6" spans="1:8" x14ac:dyDescent="0.25">
      <c r="A6" t="s">
        <v>1</v>
      </c>
      <c r="B6" t="s">
        <v>6</v>
      </c>
      <c r="C6" t="s">
        <v>6</v>
      </c>
      <c r="D6" t="s">
        <v>6</v>
      </c>
      <c r="E6" t="s">
        <v>6</v>
      </c>
      <c r="F6" t="s">
        <v>6</v>
      </c>
      <c r="G6" t="s">
        <v>6</v>
      </c>
      <c r="H6" t="s">
        <v>6</v>
      </c>
    </row>
    <row r="7" spans="1:8" x14ac:dyDescent="0.25">
      <c r="A7" t="s">
        <v>2</v>
      </c>
      <c r="B7" t="s">
        <v>3</v>
      </c>
      <c r="C7" t="s">
        <v>3</v>
      </c>
      <c r="D7" t="s">
        <v>3</v>
      </c>
      <c r="E7" t="s">
        <v>3</v>
      </c>
      <c r="F7" t="s">
        <v>3</v>
      </c>
      <c r="G7" t="s">
        <v>3</v>
      </c>
      <c r="H7" t="s">
        <v>3</v>
      </c>
    </row>
    <row r="9" spans="1:8" x14ac:dyDescent="0.25">
      <c r="A9">
        <v>2</v>
      </c>
      <c r="B9">
        <v>5.645E-2</v>
      </c>
      <c r="C9">
        <v>5.67E-2</v>
      </c>
      <c r="D9">
        <v>5.7249999999999995E-2</v>
      </c>
      <c r="E9">
        <v>5.6899999999999999E-2</v>
      </c>
      <c r="F9">
        <v>5.7200000000000001E-2</v>
      </c>
      <c r="G9">
        <v>5.7300000000000004E-2</v>
      </c>
      <c r="H9">
        <v>5.9950000000000003E-2</v>
      </c>
    </row>
    <row r="10" spans="1:8" x14ac:dyDescent="0.25">
      <c r="A10">
        <v>2.94</v>
      </c>
      <c r="B10">
        <v>5.6399999999999999E-2</v>
      </c>
      <c r="C10">
        <v>5.6899999999999999E-2</v>
      </c>
      <c r="D10">
        <v>5.7450000000000001E-2</v>
      </c>
      <c r="E10">
        <v>5.6599999999999998E-2</v>
      </c>
      <c r="F10">
        <v>5.6950000000000001E-2</v>
      </c>
      <c r="G10">
        <v>5.7349999999999998E-2</v>
      </c>
      <c r="H10">
        <v>5.9499999999999997E-2</v>
      </c>
    </row>
    <row r="11" spans="1:8" x14ac:dyDescent="0.25">
      <c r="A11">
        <v>4.3099999999999996</v>
      </c>
      <c r="B11">
        <v>5.6399999999999999E-2</v>
      </c>
      <c r="C11">
        <v>5.6950000000000001E-2</v>
      </c>
      <c r="D11">
        <v>5.7050000000000003E-2</v>
      </c>
      <c r="E11">
        <v>5.67E-2</v>
      </c>
      <c r="F11">
        <v>5.6650000000000006E-2</v>
      </c>
      <c r="G11">
        <v>5.7300000000000004E-2</v>
      </c>
      <c r="H11">
        <v>5.9499999999999997E-2</v>
      </c>
    </row>
    <row r="12" spans="1:8" x14ac:dyDescent="0.25">
      <c r="A12">
        <v>6.32</v>
      </c>
      <c r="B12">
        <v>5.6349999999999997E-2</v>
      </c>
      <c r="C12">
        <v>5.6749999999999995E-2</v>
      </c>
      <c r="D12">
        <v>5.6950000000000001E-2</v>
      </c>
      <c r="E12">
        <v>5.6599999999999998E-2</v>
      </c>
      <c r="F12">
        <v>5.67E-2</v>
      </c>
      <c r="G12">
        <v>5.7200000000000001E-2</v>
      </c>
      <c r="H12">
        <v>5.9150000000000001E-2</v>
      </c>
    </row>
    <row r="13" spans="1:8" x14ac:dyDescent="0.25">
      <c r="A13">
        <v>9.2799999999999994</v>
      </c>
      <c r="B13">
        <v>5.62E-2</v>
      </c>
      <c r="C13">
        <v>5.6550000000000003E-2</v>
      </c>
      <c r="D13">
        <v>5.6950000000000001E-2</v>
      </c>
      <c r="E13">
        <v>5.645E-2</v>
      </c>
      <c r="F13">
        <v>5.6899999999999999E-2</v>
      </c>
      <c r="G13">
        <v>5.7149999999999999E-2</v>
      </c>
      <c r="H13">
        <v>5.9150000000000001E-2</v>
      </c>
    </row>
    <row r="14" spans="1:8" x14ac:dyDescent="0.25">
      <c r="A14">
        <v>13.6</v>
      </c>
      <c r="B14">
        <v>5.62E-2</v>
      </c>
      <c r="C14">
        <v>5.645E-2</v>
      </c>
      <c r="D14">
        <v>5.6950000000000001E-2</v>
      </c>
      <c r="E14">
        <v>5.6550000000000003E-2</v>
      </c>
      <c r="F14">
        <v>5.6849999999999998E-2</v>
      </c>
      <c r="G14">
        <v>5.7149999999999999E-2</v>
      </c>
      <c r="H14">
        <v>5.8799999999999998E-2</v>
      </c>
    </row>
    <row r="15" spans="1:8" x14ac:dyDescent="0.25">
      <c r="A15">
        <v>20</v>
      </c>
      <c r="B15">
        <v>5.6149999999999999E-2</v>
      </c>
      <c r="C15">
        <v>5.645E-2</v>
      </c>
      <c r="D15">
        <v>5.6900000000000006E-2</v>
      </c>
      <c r="E15">
        <v>5.6550000000000003E-2</v>
      </c>
      <c r="F15">
        <v>5.6950000000000001E-2</v>
      </c>
      <c r="G15">
        <v>5.7050000000000003E-2</v>
      </c>
      <c r="H15">
        <v>5.8650000000000001E-2</v>
      </c>
    </row>
    <row r="16" spans="1:8" x14ac:dyDescent="0.25">
      <c r="A16">
        <v>29.4</v>
      </c>
      <c r="B16">
        <v>5.62E-2</v>
      </c>
      <c r="C16">
        <v>5.6249999999999994E-2</v>
      </c>
      <c r="D16">
        <v>5.6849999999999998E-2</v>
      </c>
      <c r="E16">
        <v>5.6500000000000002E-2</v>
      </c>
      <c r="F16">
        <v>5.6599999999999998E-2</v>
      </c>
      <c r="G16">
        <v>5.7099999999999998E-2</v>
      </c>
      <c r="H16">
        <v>5.8550000000000005E-2</v>
      </c>
    </row>
    <row r="17" spans="1:8" x14ac:dyDescent="0.25">
      <c r="A17">
        <v>43.1</v>
      </c>
      <c r="B17">
        <v>5.6050000000000003E-2</v>
      </c>
      <c r="C17">
        <v>5.6099999999999997E-2</v>
      </c>
      <c r="D17">
        <v>5.6849999999999998E-2</v>
      </c>
      <c r="E17">
        <v>5.645E-2</v>
      </c>
      <c r="F17">
        <v>5.6599999999999998E-2</v>
      </c>
      <c r="G17">
        <v>5.7099999999999998E-2</v>
      </c>
      <c r="H17">
        <v>5.8400000000000001E-2</v>
      </c>
    </row>
    <row r="18" spans="1:8" x14ac:dyDescent="0.25">
      <c r="A18">
        <v>63.2</v>
      </c>
      <c r="B18">
        <v>5.6149999999999999E-2</v>
      </c>
      <c r="C18">
        <v>5.6050000000000003E-2</v>
      </c>
      <c r="D18">
        <v>5.6800000000000003E-2</v>
      </c>
      <c r="E18">
        <v>5.645E-2</v>
      </c>
      <c r="F18">
        <v>5.6599999999999998E-2</v>
      </c>
      <c r="G18">
        <v>5.7149999999999999E-2</v>
      </c>
      <c r="H18">
        <v>5.8400000000000001E-2</v>
      </c>
    </row>
    <row r="19" spans="1:8" x14ac:dyDescent="0.25">
      <c r="A19">
        <v>92.8</v>
      </c>
      <c r="B19">
        <v>5.5899999999999998E-2</v>
      </c>
      <c r="C19">
        <v>5.6000000000000001E-2</v>
      </c>
      <c r="D19">
        <v>5.67E-2</v>
      </c>
      <c r="E19">
        <v>5.645E-2</v>
      </c>
      <c r="F19">
        <v>5.6649999999999999E-2</v>
      </c>
      <c r="G19">
        <v>5.7099999999999998E-2</v>
      </c>
      <c r="H19">
        <v>5.8349999999999999E-2</v>
      </c>
    </row>
    <row r="20" spans="1:8" x14ac:dyDescent="0.25">
      <c r="A20">
        <v>136</v>
      </c>
      <c r="B20">
        <v>5.5899999999999998E-2</v>
      </c>
      <c r="C20">
        <v>5.5999999999999994E-2</v>
      </c>
      <c r="D20">
        <v>5.67E-2</v>
      </c>
      <c r="E20">
        <v>5.6500000000000002E-2</v>
      </c>
      <c r="F20">
        <v>5.67E-2</v>
      </c>
      <c r="G20">
        <v>5.7200000000000001E-2</v>
      </c>
      <c r="H20">
        <v>5.8500000000000003E-2</v>
      </c>
    </row>
    <row r="21" spans="1:8" x14ac:dyDescent="0.25">
      <c r="A21">
        <v>200</v>
      </c>
      <c r="B21">
        <v>5.5899999999999998E-2</v>
      </c>
      <c r="C21">
        <v>5.6000000000000001E-2</v>
      </c>
      <c r="D21">
        <v>5.67E-2</v>
      </c>
      <c r="E21">
        <v>5.6500000000000002E-2</v>
      </c>
      <c r="F21">
        <v>5.6750000000000002E-2</v>
      </c>
      <c r="G21">
        <v>5.7299999999999997E-2</v>
      </c>
      <c r="H21">
        <v>5.8799999999999998E-2</v>
      </c>
    </row>
    <row r="22" spans="1:8" x14ac:dyDescent="0.25">
      <c r="A22" t="s">
        <v>16</v>
      </c>
      <c r="B22">
        <f>AVERAGE(B9:B21)</f>
        <v>5.6173076923076923E-2</v>
      </c>
      <c r="C22">
        <f t="shared" ref="C22:H22" si="0">AVERAGE(C9:C21)</f>
        <v>5.639615384615386E-2</v>
      </c>
      <c r="D22">
        <f t="shared" si="0"/>
        <v>5.6930769230769222E-2</v>
      </c>
      <c r="E22">
        <f t="shared" si="0"/>
        <v>5.6553846153846149E-2</v>
      </c>
      <c r="F22">
        <f t="shared" si="0"/>
        <v>5.6776923076923065E-2</v>
      </c>
      <c r="G22">
        <f t="shared" si="0"/>
        <v>5.7188461538461542E-2</v>
      </c>
      <c r="H22">
        <f t="shared" si="0"/>
        <v>5.8899999999999994E-2</v>
      </c>
    </row>
    <row r="23" spans="1:8" x14ac:dyDescent="0.25">
      <c r="A23" t="s">
        <v>19</v>
      </c>
      <c r="C23">
        <v>5</v>
      </c>
      <c r="D23">
        <v>10</v>
      </c>
      <c r="E23">
        <v>20</v>
      </c>
      <c r="F23">
        <v>50</v>
      </c>
      <c r="G23">
        <v>100</v>
      </c>
      <c r="H23">
        <v>200</v>
      </c>
    </row>
    <row r="24" spans="1:8" x14ac:dyDescent="0.25">
      <c r="A24" t="s">
        <v>24</v>
      </c>
      <c r="C24" s="1">
        <f>C23/$B$2</f>
        <v>3.1250000000000003E-7</v>
      </c>
      <c r="D24" s="1">
        <f t="shared" ref="D24:H24" si="1">D23/$B$2</f>
        <v>6.2500000000000005E-7</v>
      </c>
      <c r="E24" s="1">
        <f t="shared" si="1"/>
        <v>1.2500000000000001E-6</v>
      </c>
      <c r="F24" s="1">
        <f t="shared" si="1"/>
        <v>3.1250000000000001E-6</v>
      </c>
      <c r="G24" s="1">
        <f t="shared" si="1"/>
        <v>6.2500000000000003E-6</v>
      </c>
      <c r="H24" s="1">
        <f t="shared" si="1"/>
        <v>1.2500000000000001E-5</v>
      </c>
    </row>
    <row r="25" spans="1:8" x14ac:dyDescent="0.25">
      <c r="A25" t="s">
        <v>17</v>
      </c>
      <c r="C25">
        <f t="shared" ref="C25:H25" si="2">C22-$B$22</f>
        <v>2.2307692307693694E-4</v>
      </c>
      <c r="D25">
        <f t="shared" si="2"/>
        <v>7.576923076922995E-4</v>
      </c>
      <c r="E25">
        <f t="shared" si="2"/>
        <v>3.807692307692262E-4</v>
      </c>
      <c r="F25">
        <f t="shared" si="2"/>
        <v>6.0384615384614232E-4</v>
      </c>
      <c r="G25">
        <f t="shared" si="2"/>
        <v>1.0153846153846194E-3</v>
      </c>
      <c r="H25">
        <f>H22-$B$22</f>
        <v>2.7269230769230712E-3</v>
      </c>
    </row>
    <row r="26" spans="1:8" x14ac:dyDescent="0.25">
      <c r="A26" t="s">
        <v>18</v>
      </c>
      <c r="C26" s="1">
        <f>C25/(B22*C23)</f>
        <v>7.9424854501887845E-4</v>
      </c>
      <c r="D26" s="1">
        <f t="shared" ref="D26:H26" si="3">D25/(C22*D23)</f>
        <v>1.3435176976062048E-3</v>
      </c>
      <c r="E26" s="1">
        <f t="shared" si="3"/>
        <v>3.3441426834211199E-4</v>
      </c>
      <c r="F26" s="1">
        <f t="shared" si="3"/>
        <v>2.1354733405875545E-4</v>
      </c>
      <c r="G26" s="1">
        <f t="shared" si="3"/>
        <v>1.7883755588673695E-4</v>
      </c>
      <c r="H26" s="1">
        <f t="shared" si="3"/>
        <v>2.3841549532584519E-4</v>
      </c>
    </row>
    <row r="28" spans="1:8" x14ac:dyDescent="0.25">
      <c r="A28" t="s">
        <v>21</v>
      </c>
      <c r="B28" s="1">
        <v>8.0000000000000002E-8</v>
      </c>
    </row>
    <row r="29" spans="1:8" x14ac:dyDescent="0.25">
      <c r="A29" t="s">
        <v>22</v>
      </c>
      <c r="B29">
        <v>0.5</v>
      </c>
    </row>
    <row r="30" spans="1:8" x14ac:dyDescent="0.25">
      <c r="A30" t="s">
        <v>23</v>
      </c>
      <c r="B30" s="1">
        <f>$B$28*$B$2^$B$29</f>
        <v>3.2000000000000003E-4</v>
      </c>
    </row>
    <row r="33" spans="1:5" x14ac:dyDescent="0.25">
      <c r="A33" t="s">
        <v>20</v>
      </c>
      <c r="B33" s="1">
        <v>7000000</v>
      </c>
    </row>
    <row r="35" spans="1:5" x14ac:dyDescent="0.25">
      <c r="A35" t="s">
        <v>25</v>
      </c>
      <c r="B35" t="s">
        <v>19</v>
      </c>
      <c r="C35">
        <v>200</v>
      </c>
      <c r="D35">
        <v>500</v>
      </c>
      <c r="E35">
        <v>1000</v>
      </c>
    </row>
    <row r="36" spans="1:5" x14ac:dyDescent="0.25">
      <c r="B36" t="s">
        <v>26</v>
      </c>
      <c r="C36">
        <f>'PS16 in 200ppmPS7'!B22</f>
        <v>5.7969230769230759E-2</v>
      </c>
      <c r="D36">
        <f>'PS16 in 500ppmPS7'!B22</f>
        <v>6.1919230769230775E-2</v>
      </c>
      <c r="E36">
        <f>'PS16 in 1000ppmPS7'!B22</f>
        <v>6.8573076923076917E-2</v>
      </c>
    </row>
    <row r="37" spans="1:5" x14ac:dyDescent="0.25">
      <c r="B37" t="s">
        <v>17</v>
      </c>
      <c r="C37">
        <f>C36-$B$22</f>
        <v>1.7961538461538362E-3</v>
      </c>
      <c r="D37">
        <f>D36-$B$22</f>
        <v>5.7461538461538522E-3</v>
      </c>
      <c r="E37">
        <f t="shared" ref="E37" si="4">E36-$B$22</f>
        <v>1.2399999999999994E-2</v>
      </c>
    </row>
    <row r="38" spans="1:5" x14ac:dyDescent="0.25">
      <c r="C38" s="1">
        <f>C37/(B22*C35)</f>
        <v>1.5987675453611689E-4</v>
      </c>
      <c r="D38" s="1">
        <f t="shared" ref="D38:E38" si="5">D37/(C22*D35)</f>
        <v>2.037782172815933E-4</v>
      </c>
      <c r="E38" s="1">
        <f t="shared" si="5"/>
        <v>2.1780840426969321E-4</v>
      </c>
    </row>
    <row r="39" spans="1:5" x14ac:dyDescent="0.25">
      <c r="A39" t="s">
        <v>23</v>
      </c>
      <c r="B39" s="1">
        <f>$B$28*$B$33^$B$29</f>
        <v>2.1166010488516725E-4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2"/>
  <sheetViews>
    <sheetView workbookViewId="0">
      <selection activeCell="B12" sqref="B12"/>
    </sheetView>
  </sheetViews>
  <sheetFormatPr defaultRowHeight="15" x14ac:dyDescent="0.25"/>
  <sheetData>
    <row r="1" spans="1:8" x14ac:dyDescent="0.25">
      <c r="A1" t="s">
        <v>13</v>
      </c>
    </row>
    <row r="4" spans="1:8" x14ac:dyDescent="0.25">
      <c r="B4" t="s">
        <v>4</v>
      </c>
      <c r="C4" t="s">
        <v>7</v>
      </c>
      <c r="D4" t="s">
        <v>8</v>
      </c>
      <c r="E4" t="s">
        <v>9</v>
      </c>
      <c r="F4" t="s">
        <v>10</v>
      </c>
      <c r="G4" t="s">
        <v>11</v>
      </c>
      <c r="H4" t="s">
        <v>12</v>
      </c>
    </row>
    <row r="5" spans="1:8" x14ac:dyDescent="0.25">
      <c r="B5" t="s">
        <v>5</v>
      </c>
      <c r="C5" t="s">
        <v>5</v>
      </c>
      <c r="D5" t="s">
        <v>5</v>
      </c>
      <c r="E5" t="s">
        <v>5</v>
      </c>
      <c r="F5" t="s">
        <v>5</v>
      </c>
      <c r="G5" t="s">
        <v>5</v>
      </c>
      <c r="H5" t="s">
        <v>5</v>
      </c>
    </row>
    <row r="6" spans="1:8" x14ac:dyDescent="0.25">
      <c r="A6" t="s">
        <v>1</v>
      </c>
      <c r="B6" t="s">
        <v>6</v>
      </c>
      <c r="C6" t="s">
        <v>6</v>
      </c>
      <c r="D6" t="s">
        <v>6</v>
      </c>
      <c r="E6" t="s">
        <v>6</v>
      </c>
      <c r="F6" t="s">
        <v>6</v>
      </c>
      <c r="G6" t="s">
        <v>6</v>
      </c>
      <c r="H6" t="s">
        <v>6</v>
      </c>
    </row>
    <row r="7" spans="1:8" x14ac:dyDescent="0.25">
      <c r="A7" t="s">
        <v>2</v>
      </c>
      <c r="B7" t="s">
        <v>3</v>
      </c>
      <c r="C7" t="s">
        <v>3</v>
      </c>
      <c r="D7" t="s">
        <v>3</v>
      </c>
      <c r="E7" t="s">
        <v>3</v>
      </c>
      <c r="F7" t="s">
        <v>3</v>
      </c>
      <c r="G7" t="s">
        <v>3</v>
      </c>
      <c r="H7" t="s">
        <v>3</v>
      </c>
    </row>
    <row r="9" spans="1:8" x14ac:dyDescent="0.25">
      <c r="A9">
        <v>2</v>
      </c>
      <c r="B9">
        <v>5.8400000000000001E-2</v>
      </c>
      <c r="C9">
        <v>5.9150000000000001E-2</v>
      </c>
      <c r="D9">
        <v>5.885E-2</v>
      </c>
      <c r="E9">
        <v>5.9499999999999997E-2</v>
      </c>
      <c r="F9">
        <v>5.9549999999999999E-2</v>
      </c>
      <c r="G9">
        <v>5.9799999999999999E-2</v>
      </c>
      <c r="H9">
        <v>6.2E-2</v>
      </c>
    </row>
    <row r="10" spans="1:8" x14ac:dyDescent="0.25">
      <c r="A10">
        <v>2.94</v>
      </c>
      <c r="B10">
        <v>5.8249999999999996E-2</v>
      </c>
      <c r="C10">
        <v>5.8550000000000005E-2</v>
      </c>
      <c r="D10">
        <v>5.8700000000000002E-2</v>
      </c>
      <c r="E10">
        <v>5.91E-2</v>
      </c>
      <c r="F10">
        <v>5.9450000000000003E-2</v>
      </c>
      <c r="G10">
        <v>5.9799999999999999E-2</v>
      </c>
      <c r="H10">
        <v>6.225E-2</v>
      </c>
    </row>
    <row r="11" spans="1:8" x14ac:dyDescent="0.25">
      <c r="A11">
        <v>4.3099999999999996</v>
      </c>
      <c r="B11">
        <v>5.8299999999999998E-2</v>
      </c>
      <c r="C11">
        <v>5.8450000000000002E-2</v>
      </c>
      <c r="D11">
        <v>5.8700000000000002E-2</v>
      </c>
      <c r="E11">
        <v>5.8950000000000002E-2</v>
      </c>
      <c r="F11">
        <v>5.9200000000000003E-2</v>
      </c>
      <c r="G11">
        <v>5.9800000000000006E-2</v>
      </c>
      <c r="H11">
        <v>6.2100000000000002E-2</v>
      </c>
    </row>
    <row r="12" spans="1:8" x14ac:dyDescent="0.25">
      <c r="A12">
        <v>6.32</v>
      </c>
      <c r="B12">
        <v>5.7999999999999996E-2</v>
      </c>
      <c r="C12">
        <v>5.8499999999999996E-2</v>
      </c>
      <c r="D12">
        <v>5.8700000000000002E-2</v>
      </c>
      <c r="E12">
        <v>5.8900000000000001E-2</v>
      </c>
      <c r="F12">
        <v>5.8650000000000001E-2</v>
      </c>
      <c r="G12">
        <v>5.9749999999999998E-2</v>
      </c>
      <c r="H12">
        <v>6.1799999999999994E-2</v>
      </c>
    </row>
    <row r="13" spans="1:8" x14ac:dyDescent="0.25">
      <c r="A13">
        <v>9.2799999999999994</v>
      </c>
      <c r="B13">
        <v>5.8099999999999999E-2</v>
      </c>
      <c r="C13">
        <v>5.8499999999999996E-2</v>
      </c>
      <c r="D13">
        <v>5.8700000000000002E-2</v>
      </c>
      <c r="E13">
        <v>5.885E-2</v>
      </c>
      <c r="F13">
        <v>5.9200000000000003E-2</v>
      </c>
      <c r="G13">
        <v>5.9700000000000003E-2</v>
      </c>
      <c r="H13">
        <v>6.1850000000000002E-2</v>
      </c>
    </row>
    <row r="14" spans="1:8" x14ac:dyDescent="0.25">
      <c r="A14">
        <v>13.6</v>
      </c>
      <c r="B14">
        <v>5.7999999999999996E-2</v>
      </c>
      <c r="C14">
        <v>5.8499999999999996E-2</v>
      </c>
      <c r="D14">
        <v>5.8650000000000001E-2</v>
      </c>
      <c r="E14">
        <v>5.8899999999999994E-2</v>
      </c>
      <c r="F14">
        <v>5.8950000000000002E-2</v>
      </c>
      <c r="G14">
        <v>5.96E-2</v>
      </c>
      <c r="H14">
        <v>6.1499999999999999E-2</v>
      </c>
    </row>
    <row r="15" spans="1:8" x14ac:dyDescent="0.25">
      <c r="A15">
        <v>20</v>
      </c>
      <c r="B15">
        <v>5.7950000000000002E-2</v>
      </c>
      <c r="C15">
        <v>5.8099999999999999E-2</v>
      </c>
      <c r="D15">
        <v>5.8450000000000002E-2</v>
      </c>
      <c r="E15">
        <v>5.8900000000000001E-2</v>
      </c>
      <c r="F15">
        <v>5.8599999999999999E-2</v>
      </c>
      <c r="G15">
        <v>5.96E-2</v>
      </c>
      <c r="H15">
        <v>6.1249999999999999E-2</v>
      </c>
    </row>
    <row r="16" spans="1:8" x14ac:dyDescent="0.25">
      <c r="A16">
        <v>29.4</v>
      </c>
      <c r="B16">
        <v>5.79E-2</v>
      </c>
      <c r="C16">
        <v>5.8200000000000002E-2</v>
      </c>
      <c r="D16">
        <v>5.8549999999999998E-2</v>
      </c>
      <c r="E16">
        <v>5.8950000000000002E-2</v>
      </c>
      <c r="F16">
        <v>5.8499999999999996E-2</v>
      </c>
      <c r="G16">
        <v>5.9450000000000003E-2</v>
      </c>
      <c r="H16">
        <v>6.1100000000000002E-2</v>
      </c>
    </row>
    <row r="17" spans="1:8" x14ac:dyDescent="0.25">
      <c r="A17">
        <v>43.1</v>
      </c>
      <c r="B17">
        <v>5.7849999999999999E-2</v>
      </c>
      <c r="C17">
        <v>5.8099999999999999E-2</v>
      </c>
      <c r="D17">
        <v>5.8450000000000002E-2</v>
      </c>
      <c r="E17">
        <v>5.8749999999999997E-2</v>
      </c>
      <c r="F17">
        <v>5.8450000000000002E-2</v>
      </c>
      <c r="G17">
        <v>5.935E-2</v>
      </c>
      <c r="H17">
        <v>6.0899999999999996E-2</v>
      </c>
    </row>
    <row r="18" spans="1:8" x14ac:dyDescent="0.25">
      <c r="A18">
        <v>63.2</v>
      </c>
      <c r="B18">
        <v>5.7799999999999997E-2</v>
      </c>
      <c r="C18">
        <v>5.8050000000000004E-2</v>
      </c>
      <c r="D18">
        <v>5.8349999999999999E-2</v>
      </c>
      <c r="E18">
        <v>5.8749999999999997E-2</v>
      </c>
      <c r="F18">
        <v>5.8299999999999998E-2</v>
      </c>
      <c r="G18">
        <v>5.9249999999999997E-2</v>
      </c>
      <c r="H18">
        <v>6.0850000000000001E-2</v>
      </c>
    </row>
    <row r="19" spans="1:8" x14ac:dyDescent="0.25">
      <c r="A19">
        <v>92.8</v>
      </c>
      <c r="B19">
        <v>5.7700000000000001E-2</v>
      </c>
      <c r="C19">
        <v>5.8099999999999999E-2</v>
      </c>
      <c r="D19">
        <v>5.8200000000000002E-2</v>
      </c>
      <c r="E19">
        <v>5.8599999999999999E-2</v>
      </c>
      <c r="F19">
        <v>5.8249999999999996E-2</v>
      </c>
      <c r="G19">
        <v>5.9249999999999997E-2</v>
      </c>
      <c r="H19">
        <v>6.08E-2</v>
      </c>
    </row>
    <row r="20" spans="1:8" x14ac:dyDescent="0.25">
      <c r="A20">
        <v>136</v>
      </c>
      <c r="B20">
        <v>5.7700000000000001E-2</v>
      </c>
      <c r="C20">
        <v>5.7799999999999997E-2</v>
      </c>
      <c r="D20">
        <v>5.8200000000000002E-2</v>
      </c>
      <c r="E20">
        <v>5.8550000000000005E-2</v>
      </c>
      <c r="F20">
        <v>5.8299999999999998E-2</v>
      </c>
      <c r="G20">
        <v>5.9249999999999997E-2</v>
      </c>
      <c r="H20">
        <v>6.08E-2</v>
      </c>
    </row>
    <row r="21" spans="1:8" x14ac:dyDescent="0.25">
      <c r="A21">
        <v>200</v>
      </c>
      <c r="B21">
        <v>5.765E-2</v>
      </c>
      <c r="C21">
        <v>5.7799999999999997E-2</v>
      </c>
      <c r="D21">
        <v>5.8200000000000002E-2</v>
      </c>
      <c r="E21">
        <v>5.8550000000000005E-2</v>
      </c>
      <c r="F21">
        <v>5.8299999999999998E-2</v>
      </c>
      <c r="G21">
        <v>5.9249999999999997E-2</v>
      </c>
      <c r="H21">
        <v>6.0999999999999999E-2</v>
      </c>
    </row>
    <row r="22" spans="1:8" x14ac:dyDescent="0.25">
      <c r="B22">
        <f>AVERAGE(B9:B21)</f>
        <v>5.7969230769230759E-2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2"/>
  <sheetViews>
    <sheetView workbookViewId="0">
      <selection activeCell="B22" sqref="B22"/>
    </sheetView>
  </sheetViews>
  <sheetFormatPr defaultRowHeight="15" x14ac:dyDescent="0.25"/>
  <sheetData>
    <row r="1" spans="1:8" x14ac:dyDescent="0.25">
      <c r="A1" t="s">
        <v>14</v>
      </c>
    </row>
    <row r="4" spans="1:8" x14ac:dyDescent="0.25">
      <c r="B4" t="s">
        <v>4</v>
      </c>
      <c r="C4" t="s">
        <v>7</v>
      </c>
      <c r="D4" t="s">
        <v>8</v>
      </c>
      <c r="E4" t="s">
        <v>9</v>
      </c>
      <c r="F4" t="s">
        <v>10</v>
      </c>
      <c r="G4" t="s">
        <v>11</v>
      </c>
      <c r="H4" t="s">
        <v>12</v>
      </c>
    </row>
    <row r="5" spans="1:8" x14ac:dyDescent="0.25">
      <c r="B5" t="s">
        <v>5</v>
      </c>
      <c r="C5" t="s">
        <v>5</v>
      </c>
      <c r="D5" t="s">
        <v>5</v>
      </c>
      <c r="E5" t="s">
        <v>5</v>
      </c>
      <c r="F5" t="s">
        <v>5</v>
      </c>
      <c r="G5" t="s">
        <v>5</v>
      </c>
      <c r="H5" t="s">
        <v>5</v>
      </c>
    </row>
    <row r="6" spans="1:8" x14ac:dyDescent="0.25">
      <c r="A6" t="s">
        <v>1</v>
      </c>
      <c r="B6" t="s">
        <v>6</v>
      </c>
      <c r="C6" t="s">
        <v>6</v>
      </c>
      <c r="D6" t="s">
        <v>6</v>
      </c>
      <c r="E6" t="s">
        <v>6</v>
      </c>
      <c r="F6" t="s">
        <v>6</v>
      </c>
      <c r="G6" t="s">
        <v>6</v>
      </c>
      <c r="H6" t="s">
        <v>6</v>
      </c>
    </row>
    <row r="7" spans="1:8" x14ac:dyDescent="0.25">
      <c r="A7" t="s">
        <v>2</v>
      </c>
      <c r="B7" t="s">
        <v>3</v>
      </c>
      <c r="C7" t="s">
        <v>3</v>
      </c>
      <c r="D7" t="s">
        <v>3</v>
      </c>
      <c r="E7" t="s">
        <v>3</v>
      </c>
      <c r="F7" t="s">
        <v>3</v>
      </c>
      <c r="G7" t="s">
        <v>3</v>
      </c>
      <c r="H7" t="s">
        <v>3</v>
      </c>
    </row>
    <row r="9" spans="1:8" x14ac:dyDescent="0.25">
      <c r="A9">
        <v>2</v>
      </c>
      <c r="B9">
        <v>6.225E-2</v>
      </c>
      <c r="C9">
        <v>6.225E-2</v>
      </c>
      <c r="D9">
        <v>6.3100000000000003E-2</v>
      </c>
      <c r="E9">
        <v>6.2399999999999997E-2</v>
      </c>
      <c r="F9">
        <v>6.3099999999999989E-2</v>
      </c>
      <c r="G9">
        <v>6.3250000000000001E-2</v>
      </c>
      <c r="H9">
        <v>6.4899999999999999E-2</v>
      </c>
    </row>
    <row r="10" spans="1:8" x14ac:dyDescent="0.25">
      <c r="A10">
        <v>2.94</v>
      </c>
      <c r="B10">
        <v>6.225E-2</v>
      </c>
      <c r="C10">
        <v>6.2100000000000002E-2</v>
      </c>
      <c r="D10">
        <v>6.275E-2</v>
      </c>
      <c r="E10">
        <v>6.2199999999999998E-2</v>
      </c>
      <c r="F10">
        <v>6.3149999999999998E-2</v>
      </c>
      <c r="G10">
        <v>6.3299999999999995E-2</v>
      </c>
      <c r="H10">
        <v>6.515E-2</v>
      </c>
    </row>
    <row r="11" spans="1:8" x14ac:dyDescent="0.25">
      <c r="A11">
        <v>4.3099999999999996</v>
      </c>
      <c r="B11">
        <v>6.2100000000000002E-2</v>
      </c>
      <c r="C11">
        <v>6.2E-2</v>
      </c>
      <c r="D11">
        <v>6.2399999999999997E-2</v>
      </c>
      <c r="E11">
        <v>6.2849999999999989E-2</v>
      </c>
      <c r="F11">
        <v>6.3150000000000012E-2</v>
      </c>
      <c r="G11">
        <v>6.3200000000000006E-2</v>
      </c>
      <c r="H11">
        <v>6.515E-2</v>
      </c>
    </row>
    <row r="12" spans="1:8" x14ac:dyDescent="0.25">
      <c r="A12">
        <v>6.32</v>
      </c>
      <c r="B12">
        <v>6.1899999999999997E-2</v>
      </c>
      <c r="C12">
        <v>6.2E-2</v>
      </c>
      <c r="D12">
        <v>6.2649999999999997E-2</v>
      </c>
      <c r="E12">
        <v>6.225E-2</v>
      </c>
      <c r="F12">
        <v>6.3150000000000012E-2</v>
      </c>
      <c r="G12">
        <v>6.3200000000000006E-2</v>
      </c>
      <c r="H12">
        <v>6.5099999999999991E-2</v>
      </c>
    </row>
    <row r="13" spans="1:8" x14ac:dyDescent="0.25">
      <c r="A13">
        <v>9.2799999999999994</v>
      </c>
      <c r="B13">
        <v>6.2950000000000006E-2</v>
      </c>
      <c r="C13">
        <v>6.1949999999999998E-2</v>
      </c>
      <c r="D13">
        <v>6.2899999999999998E-2</v>
      </c>
      <c r="E13">
        <v>6.2E-2</v>
      </c>
      <c r="F13">
        <v>6.3149999999999998E-2</v>
      </c>
      <c r="G13">
        <v>6.3299999999999995E-2</v>
      </c>
      <c r="H13">
        <v>6.4950000000000008E-2</v>
      </c>
    </row>
    <row r="14" spans="1:8" x14ac:dyDescent="0.25">
      <c r="A14">
        <v>13.6</v>
      </c>
      <c r="B14">
        <v>6.1949999999999998E-2</v>
      </c>
      <c r="C14">
        <v>6.1899999999999997E-2</v>
      </c>
      <c r="D14">
        <v>6.2599999999999989E-2</v>
      </c>
      <c r="E14">
        <v>6.2100000000000002E-2</v>
      </c>
      <c r="F14">
        <v>6.3200000000000006E-2</v>
      </c>
      <c r="G14">
        <v>6.3150000000000012E-2</v>
      </c>
      <c r="H14">
        <v>6.4799999999999996E-2</v>
      </c>
    </row>
    <row r="15" spans="1:8" x14ac:dyDescent="0.25">
      <c r="A15">
        <v>20</v>
      </c>
      <c r="B15">
        <v>6.2E-2</v>
      </c>
      <c r="C15">
        <v>6.1850000000000002E-2</v>
      </c>
      <c r="D15">
        <v>6.2350000000000003E-2</v>
      </c>
      <c r="E15">
        <v>6.1850000000000002E-2</v>
      </c>
      <c r="F15">
        <v>6.3200000000000006E-2</v>
      </c>
      <c r="G15">
        <v>6.3100000000000003E-2</v>
      </c>
      <c r="H15">
        <v>6.4700000000000008E-2</v>
      </c>
    </row>
    <row r="16" spans="1:8" x14ac:dyDescent="0.25">
      <c r="A16">
        <v>29.4</v>
      </c>
      <c r="B16">
        <v>6.1899999999999997E-2</v>
      </c>
      <c r="C16">
        <v>6.1800000000000001E-2</v>
      </c>
      <c r="D16">
        <v>6.2299999999999994E-2</v>
      </c>
      <c r="E16">
        <v>6.1850000000000002E-2</v>
      </c>
      <c r="F16">
        <v>6.3049999999999995E-2</v>
      </c>
      <c r="G16">
        <v>6.3E-2</v>
      </c>
      <c r="H16">
        <v>6.4549999999999996E-2</v>
      </c>
    </row>
    <row r="17" spans="1:8" x14ac:dyDescent="0.25">
      <c r="A17">
        <v>43.1</v>
      </c>
      <c r="B17">
        <v>6.1800000000000001E-2</v>
      </c>
      <c r="C17">
        <v>6.1749999999999999E-2</v>
      </c>
      <c r="D17">
        <v>6.2299999999999994E-2</v>
      </c>
      <c r="E17">
        <v>6.1699999999999998E-2</v>
      </c>
      <c r="F17">
        <v>6.25E-2</v>
      </c>
      <c r="G17">
        <v>6.2899999999999998E-2</v>
      </c>
      <c r="H17">
        <v>6.4399999999999999E-2</v>
      </c>
    </row>
    <row r="18" spans="1:8" x14ac:dyDescent="0.25">
      <c r="A18">
        <v>63.2</v>
      </c>
      <c r="B18">
        <v>6.1649999999999996E-2</v>
      </c>
      <c r="C18">
        <v>6.1550000000000001E-2</v>
      </c>
      <c r="D18">
        <v>6.2E-2</v>
      </c>
      <c r="E18">
        <v>6.1450000000000005E-2</v>
      </c>
      <c r="F18">
        <v>6.2450000000000006E-2</v>
      </c>
      <c r="G18">
        <v>6.2799999999999995E-2</v>
      </c>
      <c r="H18">
        <v>6.4200000000000007E-2</v>
      </c>
    </row>
    <row r="19" spans="1:8" x14ac:dyDescent="0.25">
      <c r="A19">
        <v>92.8</v>
      </c>
      <c r="B19">
        <v>6.1499999999999999E-2</v>
      </c>
      <c r="C19">
        <v>6.1450000000000005E-2</v>
      </c>
      <c r="D19">
        <v>6.2149999999999997E-2</v>
      </c>
      <c r="E19">
        <v>6.1249999999999999E-2</v>
      </c>
      <c r="F19">
        <v>6.2E-2</v>
      </c>
      <c r="G19">
        <v>6.2600000000000003E-2</v>
      </c>
      <c r="H19">
        <v>6.4049999999999996E-2</v>
      </c>
    </row>
    <row r="20" spans="1:8" x14ac:dyDescent="0.25">
      <c r="A20">
        <v>136</v>
      </c>
      <c r="B20">
        <v>6.1400000000000003E-2</v>
      </c>
      <c r="C20">
        <v>6.1350000000000002E-2</v>
      </c>
      <c r="D20">
        <v>6.1799999999999994E-2</v>
      </c>
      <c r="E20">
        <v>6.1149999999999996E-2</v>
      </c>
      <c r="F20">
        <v>6.1899999999999997E-2</v>
      </c>
      <c r="G20">
        <v>6.25E-2</v>
      </c>
      <c r="H20">
        <v>6.3950000000000007E-2</v>
      </c>
    </row>
    <row r="21" spans="1:8" x14ac:dyDescent="0.25">
      <c r="A21">
        <v>200</v>
      </c>
      <c r="B21">
        <v>6.13E-2</v>
      </c>
      <c r="C21">
        <v>6.1199999999999997E-2</v>
      </c>
      <c r="D21">
        <v>6.1600000000000002E-2</v>
      </c>
      <c r="E21">
        <v>6.1100000000000002E-2</v>
      </c>
      <c r="F21">
        <v>6.1800000000000001E-2</v>
      </c>
      <c r="G21">
        <v>6.25E-2</v>
      </c>
    </row>
    <row r="22" spans="1:8" x14ac:dyDescent="0.25">
      <c r="B22">
        <f>AVERAGE(B9:B21)</f>
        <v>6.1919230769230775E-2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2"/>
  <sheetViews>
    <sheetView workbookViewId="0">
      <selection activeCell="I8" sqref="I8"/>
    </sheetView>
  </sheetViews>
  <sheetFormatPr defaultRowHeight="15" x14ac:dyDescent="0.25"/>
  <sheetData>
    <row r="1" spans="1:9" x14ac:dyDescent="0.25">
      <c r="A1" t="s">
        <v>15</v>
      </c>
    </row>
    <row r="4" spans="1:9" x14ac:dyDescent="0.25">
      <c r="B4" t="s">
        <v>4</v>
      </c>
      <c r="C4" t="s">
        <v>7</v>
      </c>
      <c r="D4" t="s">
        <v>8</v>
      </c>
      <c r="E4" t="s">
        <v>9</v>
      </c>
      <c r="F4" t="s">
        <v>10</v>
      </c>
      <c r="G4" t="s">
        <v>11</v>
      </c>
      <c r="H4" t="s">
        <v>12</v>
      </c>
    </row>
    <row r="5" spans="1:9" x14ac:dyDescent="0.25">
      <c r="B5" t="s">
        <v>5</v>
      </c>
      <c r="C5" t="s">
        <v>5</v>
      </c>
      <c r="D5" t="s">
        <v>5</v>
      </c>
      <c r="E5" t="s">
        <v>5</v>
      </c>
      <c r="F5" t="s">
        <v>5</v>
      </c>
      <c r="G5" t="s">
        <v>5</v>
      </c>
      <c r="H5" t="s">
        <v>5</v>
      </c>
    </row>
    <row r="6" spans="1:9" x14ac:dyDescent="0.25">
      <c r="A6" t="s">
        <v>1</v>
      </c>
      <c r="B6" t="s">
        <v>6</v>
      </c>
      <c r="C6" t="s">
        <v>6</v>
      </c>
      <c r="D6" t="s">
        <v>6</v>
      </c>
      <c r="E6" t="s">
        <v>6</v>
      </c>
      <c r="F6" t="s">
        <v>6</v>
      </c>
      <c r="G6" t="s">
        <v>6</v>
      </c>
      <c r="H6" t="s">
        <v>6</v>
      </c>
    </row>
    <row r="7" spans="1:9" x14ac:dyDescent="0.25">
      <c r="A7" t="s">
        <v>2</v>
      </c>
      <c r="B7" t="s">
        <v>3</v>
      </c>
      <c r="C7" t="s">
        <v>3</v>
      </c>
      <c r="D7" t="s">
        <v>3</v>
      </c>
      <c r="E7" t="s">
        <v>3</v>
      </c>
      <c r="F7" t="s">
        <v>3</v>
      </c>
      <c r="G7" t="s">
        <v>3</v>
      </c>
      <c r="H7" t="s">
        <v>3</v>
      </c>
    </row>
    <row r="9" spans="1:9" x14ac:dyDescent="0.25">
      <c r="A9">
        <v>2</v>
      </c>
      <c r="B9">
        <v>6.8949999999999997E-2</v>
      </c>
      <c r="C9">
        <v>6.9599999999999995E-2</v>
      </c>
      <c r="D9">
        <v>7.0650000000000004E-2</v>
      </c>
      <c r="E9">
        <v>6.8700000000000011E-2</v>
      </c>
      <c r="F9">
        <v>6.93E-2</v>
      </c>
      <c r="G9">
        <v>6.989999999999999E-2</v>
      </c>
      <c r="H9">
        <v>7.2099999999999997E-2</v>
      </c>
      <c r="I9">
        <f>H9-'PS16 in DOP'!B22</f>
        <v>1.5926923076923075E-2</v>
      </c>
    </row>
    <row r="10" spans="1:9" x14ac:dyDescent="0.25">
      <c r="A10">
        <v>2.94</v>
      </c>
      <c r="B10">
        <v>6.905E-2</v>
      </c>
      <c r="C10">
        <v>6.9599999999999995E-2</v>
      </c>
      <c r="D10">
        <v>6.8949999999999997E-2</v>
      </c>
      <c r="E10">
        <v>6.855E-2</v>
      </c>
      <c r="F10">
        <v>6.8950000000000011E-2</v>
      </c>
      <c r="G10">
        <v>7.0300000000000001E-2</v>
      </c>
      <c r="H10">
        <v>7.2050000000000003E-2</v>
      </c>
    </row>
    <row r="11" spans="1:9" x14ac:dyDescent="0.25">
      <c r="A11">
        <v>4.3099999999999996</v>
      </c>
      <c r="B11">
        <v>6.905E-2</v>
      </c>
      <c r="C11">
        <v>6.9150000000000003E-2</v>
      </c>
      <c r="D11">
        <v>6.905E-2</v>
      </c>
      <c r="E11">
        <v>6.8349999999999994E-2</v>
      </c>
      <c r="F11">
        <v>6.8950000000000011E-2</v>
      </c>
      <c r="G11">
        <v>7.0000000000000007E-2</v>
      </c>
      <c r="H11">
        <v>7.1899999999999992E-2</v>
      </c>
    </row>
    <row r="12" spans="1:9" x14ac:dyDescent="0.25">
      <c r="A12">
        <v>6.32</v>
      </c>
      <c r="B12">
        <v>6.9000000000000006E-2</v>
      </c>
      <c r="C12">
        <v>6.8949999999999997E-2</v>
      </c>
      <c r="D12">
        <v>6.8849999999999995E-2</v>
      </c>
      <c r="E12">
        <v>6.8399999999999989E-2</v>
      </c>
      <c r="F12">
        <v>6.9099999999999995E-2</v>
      </c>
      <c r="G12">
        <v>6.9849999999999995E-2</v>
      </c>
      <c r="H12">
        <v>7.1849999999999997E-2</v>
      </c>
    </row>
    <row r="13" spans="1:9" x14ac:dyDescent="0.25">
      <c r="A13">
        <v>9.2799999999999994</v>
      </c>
      <c r="B13">
        <v>6.8950000000000011E-2</v>
      </c>
      <c r="C13">
        <v>6.9199999999999998E-2</v>
      </c>
      <c r="D13">
        <v>6.9199999999999998E-2</v>
      </c>
      <c r="E13">
        <v>6.83E-2</v>
      </c>
      <c r="F13">
        <v>6.9000000000000006E-2</v>
      </c>
      <c r="G13">
        <v>6.9849999999999995E-2</v>
      </c>
      <c r="H13">
        <v>7.1849999999999997E-2</v>
      </c>
    </row>
    <row r="14" spans="1:9" x14ac:dyDescent="0.25">
      <c r="A14">
        <v>13.6</v>
      </c>
      <c r="B14">
        <v>6.9250000000000006E-2</v>
      </c>
      <c r="C14">
        <v>6.8700000000000011E-2</v>
      </c>
      <c r="D14">
        <v>6.8399999999999989E-2</v>
      </c>
      <c r="E14">
        <v>6.8199999999999997E-2</v>
      </c>
      <c r="F14">
        <v>6.8849999999999995E-2</v>
      </c>
      <c r="G14">
        <v>6.9750000000000006E-2</v>
      </c>
      <c r="H14">
        <v>7.1349999999999997E-2</v>
      </c>
    </row>
    <row r="15" spans="1:9" x14ac:dyDescent="0.25">
      <c r="A15">
        <v>20</v>
      </c>
      <c r="B15">
        <v>6.88E-2</v>
      </c>
      <c r="C15">
        <v>6.8750000000000006E-2</v>
      </c>
      <c r="D15">
        <v>6.83E-2</v>
      </c>
      <c r="E15">
        <v>6.8049999999999999E-2</v>
      </c>
      <c r="F15">
        <v>6.8750000000000006E-2</v>
      </c>
      <c r="G15">
        <v>6.9750000000000006E-2</v>
      </c>
      <c r="H15">
        <v>7.1149999999999991E-2</v>
      </c>
    </row>
    <row r="16" spans="1:9" x14ac:dyDescent="0.25">
      <c r="A16">
        <v>29.4</v>
      </c>
      <c r="B16">
        <v>6.8699999999999997E-2</v>
      </c>
      <c r="C16">
        <v>6.8399999999999989E-2</v>
      </c>
      <c r="D16">
        <v>6.8049999999999999E-2</v>
      </c>
      <c r="E16">
        <v>6.795000000000001E-2</v>
      </c>
      <c r="F16">
        <v>6.855E-2</v>
      </c>
      <c r="G16">
        <v>6.9450000000000012E-2</v>
      </c>
      <c r="H16">
        <v>7.0949999999999999E-2</v>
      </c>
    </row>
    <row r="17" spans="1:8" x14ac:dyDescent="0.25">
      <c r="A17">
        <v>43.1</v>
      </c>
      <c r="B17">
        <v>6.8400000000000002E-2</v>
      </c>
      <c r="C17">
        <v>6.8099999999999994E-2</v>
      </c>
      <c r="D17">
        <v>6.7849999999999994E-2</v>
      </c>
      <c r="E17">
        <v>6.7750000000000005E-2</v>
      </c>
      <c r="F17">
        <v>6.8349999999999994E-2</v>
      </c>
      <c r="G17">
        <v>6.9149999999999989E-2</v>
      </c>
      <c r="H17">
        <v>7.0599999999999996E-2</v>
      </c>
    </row>
    <row r="18" spans="1:8" x14ac:dyDescent="0.25">
      <c r="A18">
        <v>63.2</v>
      </c>
      <c r="B18">
        <v>6.8199999999999997E-2</v>
      </c>
      <c r="C18">
        <v>6.7699999999999996E-2</v>
      </c>
      <c r="D18">
        <v>6.7599999999999993E-2</v>
      </c>
      <c r="E18">
        <v>6.7500000000000004E-2</v>
      </c>
      <c r="F18">
        <v>6.8049999999999999E-2</v>
      </c>
      <c r="G18">
        <v>6.8849999999999995E-2</v>
      </c>
      <c r="H18">
        <v>7.0200000000000012E-2</v>
      </c>
    </row>
    <row r="19" spans="1:8" x14ac:dyDescent="0.25">
      <c r="A19">
        <v>92.8</v>
      </c>
      <c r="B19">
        <v>6.7900000000000002E-2</v>
      </c>
      <c r="C19">
        <v>6.7599999999999993E-2</v>
      </c>
      <c r="D19">
        <v>6.7299999999999999E-2</v>
      </c>
      <c r="E19">
        <v>6.7199999999999996E-2</v>
      </c>
      <c r="F19">
        <v>6.7750000000000005E-2</v>
      </c>
      <c r="G19">
        <v>6.8599999999999994E-2</v>
      </c>
      <c r="H19">
        <v>6.9849999999999995E-2</v>
      </c>
    </row>
    <row r="20" spans="1:8" x14ac:dyDescent="0.25">
      <c r="A20">
        <v>136</v>
      </c>
      <c r="B20">
        <v>6.7649999999999988E-2</v>
      </c>
      <c r="C20">
        <v>6.7199999999999996E-2</v>
      </c>
      <c r="D20">
        <v>6.7100000000000007E-2</v>
      </c>
      <c r="E20">
        <v>6.7000000000000004E-2</v>
      </c>
      <c r="F20">
        <v>6.7549999999999999E-2</v>
      </c>
      <c r="G20">
        <v>6.8400000000000002E-2</v>
      </c>
      <c r="H20">
        <v>6.9650000000000004E-2</v>
      </c>
    </row>
    <row r="21" spans="1:8" x14ac:dyDescent="0.25">
      <c r="A21">
        <v>200</v>
      </c>
      <c r="B21">
        <v>6.7549999999999999E-2</v>
      </c>
      <c r="C21">
        <v>6.7100000000000007E-2</v>
      </c>
      <c r="D21">
        <v>6.7000000000000004E-2</v>
      </c>
      <c r="E21">
        <v>6.6900000000000001E-2</v>
      </c>
      <c r="F21">
        <v>6.7500000000000004E-2</v>
      </c>
      <c r="G21">
        <v>6.8349999999999994E-2</v>
      </c>
    </row>
    <row r="22" spans="1:8" x14ac:dyDescent="0.25">
      <c r="B22">
        <f>AVERAGE(B9:B21)</f>
        <v>6.8573076923076917E-2</v>
      </c>
    </row>
  </sheetData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PS16 in DOP</vt:lpstr>
      <vt:lpstr>PS16 in 200ppmPS7</vt:lpstr>
      <vt:lpstr>PS16 in 500ppmPS7</vt:lpstr>
      <vt:lpstr>PS16 in 1000ppmPS7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</dc:creator>
  <cp:lastModifiedBy>Isaac Pincus</cp:lastModifiedBy>
  <dcterms:created xsi:type="dcterms:W3CDTF">2024-04-23T01:18:34Z</dcterms:created>
  <dcterms:modified xsi:type="dcterms:W3CDTF">2026-03-08T17:28:42Z</dcterms:modified>
</cp:coreProperties>
</file>